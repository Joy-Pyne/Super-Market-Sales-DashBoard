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joypy\Downloads\Sem 4\Supermarket Sales Dashboard\"/>
    </mc:Choice>
  </mc:AlternateContent>
  <xr:revisionPtr revIDLastSave="0" documentId="13_ncr:1_{692798AB-9469-49BE-A781-9274F466A39C}" xr6:coauthVersionLast="47" xr6:coauthVersionMax="47" xr10:uidLastSave="{00000000-0000-0000-0000-000000000000}"/>
  <bookViews>
    <workbookView xWindow="-108" yWindow="-108" windowWidth="23256" windowHeight="12456" activeTab="3" xr2:uid="{F38ABAF3-135B-428B-ABEF-4FF50C414B55}"/>
  </bookViews>
  <sheets>
    <sheet name="Sheet1" sheetId="2" r:id="rId1"/>
    <sheet name="Sheet2" sheetId="4" r:id="rId2"/>
    <sheet name="Dashboard" sheetId="3" r:id="rId3"/>
    <sheet name="supermarket_sales" sheetId="1" r:id="rId4"/>
  </sheets>
  <definedNames>
    <definedName name="Slicer_Branch">#N/A</definedName>
    <definedName name="Slicer_City">#N/A</definedName>
    <definedName name="Slic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6" i="2" l="1"/>
</calcChain>
</file>

<file path=xl/sharedStrings.xml><?xml version="1.0" encoding="utf-8"?>
<sst xmlns="http://schemas.openxmlformats.org/spreadsheetml/2006/main" count="7158" uniqueCount="1046">
  <si>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</si>
  <si>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</si>
  <si>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</si>
  <si>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</si>
  <si>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</si>
  <si>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</si>
  <si>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</si>
  <si>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</si>
  <si>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</si>
  <si>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</si>
  <si>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</si>
  <si>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</si>
  <si>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</si>
  <si>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</si>
  <si>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</si>
  <si>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</si>
  <si>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</si>
  <si>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</si>
  <si>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</si>
  <si>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</si>
  <si>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</si>
  <si>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</si>
  <si>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</si>
  <si>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</si>
  <si>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</si>
  <si>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</si>
  <si>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</si>
  <si>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</si>
  <si>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</si>
  <si>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</si>
  <si>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</si>
  <si>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</si>
  <si>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</si>
  <si>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</si>
  <si>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</si>
  <si>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</si>
  <si>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</si>
  <si>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</si>
  <si>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</si>
  <si>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</si>
  <si>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</si>
  <si>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</si>
  <si>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</si>
  <si>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</si>
  <si>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</si>
  <si>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</si>
  <si>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</si>
  <si>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</si>
  <si>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</si>
  <si>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</si>
  <si>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</si>
  <si>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</si>
  <si>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</si>
  <si>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</si>
  <si>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</si>
  <si>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</si>
  <si>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</si>
  <si>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</si>
  <si>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</si>
  <si>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</si>
  <si>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</si>
  <si>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</si>
  <si>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</si>
  <si>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</si>
  <si>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</si>
  <si>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</si>
  <si>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</si>
  <si>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</si>
  <si>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</si>
  <si>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</si>
  <si>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</si>
  <si>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</si>
  <si>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</si>
  <si>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</si>
  <si>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</si>
  <si>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</si>
  <si>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</si>
  <si>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</si>
  <si>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</si>
  <si>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</si>
  <si>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</si>
  <si>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</si>
  <si>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</si>
  <si>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</si>
  <si>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</si>
  <si>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</si>
  <si>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</si>
  <si>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</si>
  <si>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</si>
  <si>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</si>
  <si>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</si>
  <si>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</si>
  <si>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</si>
  <si>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</si>
  <si>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</si>
  <si>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</si>
  <si>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</si>
  <si>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</si>
  <si>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</si>
  <si>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</si>
  <si>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</si>
  <si>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</si>
  <si>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</si>
  <si>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</si>
  <si>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</si>
  <si>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</si>
  <si>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</si>
  <si>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</si>
  <si>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</si>
  <si>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</si>
  <si>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</si>
  <si>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</si>
  <si>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</si>
  <si>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</si>
  <si>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</si>
  <si>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</si>
  <si>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</si>
  <si>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</si>
  <si>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</si>
  <si>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</si>
  <si>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</si>
  <si>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</si>
  <si>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</si>
  <si>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</si>
  <si>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</si>
  <si>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</si>
  <si>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</si>
  <si>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</si>
  <si>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</si>
  <si>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</si>
  <si>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</si>
  <si>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</si>
  <si>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</si>
  <si>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</si>
  <si>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</si>
  <si>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</si>
  <si>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</si>
  <si>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</si>
  <si>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</si>
  <si>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</si>
  <si>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</si>
  <si>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</si>
  <si>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</si>
  <si>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</si>
  <si>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</si>
  <si>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</si>
  <si>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</si>
  <si>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</si>
  <si>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</si>
  <si>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</si>
  <si>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</si>
  <si>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</si>
  <si>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</si>
  <si>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</si>
  <si>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</si>
  <si>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</si>
  <si>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</si>
  <si>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</si>
  <si>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</si>
  <si>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</si>
  <si>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</si>
  <si>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</si>
  <si>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</si>
  <si>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</si>
  <si>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</si>
  <si>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</si>
  <si>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</si>
  <si>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</si>
  <si>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</si>
  <si>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</si>
  <si>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</si>
  <si>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</si>
  <si>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</si>
  <si>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</si>
  <si>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</si>
  <si>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</si>
  <si>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</si>
  <si>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</si>
  <si>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</si>
  <si>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</si>
  <si>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</si>
  <si>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</si>
  <si>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</si>
  <si>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</si>
  <si>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</si>
  <si>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</si>
  <si>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</si>
  <si>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</si>
  <si>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</si>
  <si>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</si>
  <si>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</si>
  <si>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</si>
  <si>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</si>
  <si>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</si>
  <si>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</si>
  <si>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</si>
  <si>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</si>
  <si>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</si>
  <si>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</si>
  <si>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</si>
  <si>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</si>
  <si>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</si>
  <si>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</si>
  <si>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</si>
  <si>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</si>
  <si>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</si>
  <si>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</si>
  <si>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</si>
  <si>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</si>
  <si>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</si>
  <si>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</si>
  <si>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</si>
  <si>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</si>
  <si>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</si>
  <si>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</si>
  <si>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</si>
  <si>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</si>
  <si>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</si>
  <si>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</si>
  <si>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</si>
  <si>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</si>
  <si>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</si>
  <si>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</si>
  <si>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</si>
  <si>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</si>
  <si>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</si>
  <si>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</si>
  <si>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</si>
  <si>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</si>
  <si>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</si>
  <si>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</si>
  <si>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</si>
  <si>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</si>
  <si>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</si>
  <si>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</si>
  <si>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</si>
  <si>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</si>
  <si>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</si>
  <si>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</si>
  <si>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</si>
  <si>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</si>
  <si>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</si>
  <si>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</si>
  <si>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</si>
  <si>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</si>
  <si>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</si>
  <si>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</si>
  <si>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</si>
  <si>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</si>
  <si>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</si>
  <si>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</si>
  <si>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</si>
  <si>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</si>
  <si>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</si>
  <si>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</si>
  <si>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</si>
  <si>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</si>
  <si>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</si>
  <si>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</si>
  <si>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</si>
  <si>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</si>
  <si>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</si>
  <si>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</si>
  <si>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</si>
  <si>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</si>
  <si>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</si>
  <si>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</si>
  <si>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</si>
  <si>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</si>
  <si>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</si>
  <si>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</si>
  <si>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</si>
  <si>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</si>
  <si>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</si>
  <si>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</si>
  <si>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</si>
  <si>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</si>
  <si>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</si>
  <si>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</si>
  <si>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</si>
  <si>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</si>
  <si>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</si>
  <si>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</si>
  <si>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</si>
  <si>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</si>
  <si>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</si>
  <si>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</si>
  <si>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</si>
  <si>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</si>
  <si>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</si>
  <si>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</si>
  <si>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</si>
  <si>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</si>
  <si>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</si>
  <si>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</si>
  <si>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</si>
  <si>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</si>
  <si>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</si>
  <si>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</si>
  <si>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</si>
  <si>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</si>
  <si>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</si>
  <si>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</si>
  <si>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</si>
  <si>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</si>
  <si>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</si>
  <si>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</si>
  <si>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</si>
  <si>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</si>
  <si>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</si>
  <si>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</si>
  <si>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</si>
  <si>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</si>
  <si>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</si>
  <si>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</si>
  <si>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</si>
  <si>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</si>
  <si>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</si>
  <si>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</si>
  <si>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</si>
  <si>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</si>
  <si>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</si>
  <si>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</si>
  <si>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</si>
  <si>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</si>
  <si>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</si>
  <si>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</si>
  <si>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</si>
  <si>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</si>
  <si>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</si>
  <si>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</si>
  <si>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</si>
  <si>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</si>
  <si>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</si>
  <si>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</si>
  <si>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</si>
  <si>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</si>
  <si>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</si>
  <si>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</si>
  <si>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</si>
  <si>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</si>
  <si>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</si>
  <si>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</si>
  <si>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</si>
  <si>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</si>
  <si>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</si>
  <si>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</si>
  <si>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</si>
  <si>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</si>
  <si>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</si>
  <si>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</si>
  <si>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</si>
  <si>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</si>
  <si>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</si>
  <si>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</si>
  <si>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</si>
  <si>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</si>
  <si>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</si>
  <si>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</si>
  <si>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</si>
  <si>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</si>
  <si>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</si>
  <si>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</si>
  <si>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</si>
  <si>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</si>
  <si>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</si>
  <si>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</si>
  <si>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</si>
  <si>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</si>
  <si>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</si>
  <si>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</si>
  <si>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</si>
  <si>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</si>
  <si>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</si>
  <si>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</si>
  <si>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</si>
  <si>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</si>
  <si>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</si>
  <si>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</si>
  <si>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</si>
  <si>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</si>
  <si>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</si>
  <si>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</si>
  <si>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</si>
  <si>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</si>
  <si>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</si>
  <si>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</si>
  <si>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</si>
  <si>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</si>
  <si>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</si>
  <si>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</si>
  <si>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</si>
  <si>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</si>
  <si>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</si>
  <si>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</si>
  <si>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</si>
  <si>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</si>
  <si>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</si>
  <si>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</si>
  <si>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</si>
  <si>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</si>
  <si>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</si>
  <si>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</si>
  <si>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</si>
  <si>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</si>
  <si>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</si>
  <si>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</si>
  <si>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</si>
  <si>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</si>
  <si>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</si>
  <si>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</si>
  <si>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</si>
  <si>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</si>
  <si>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</si>
  <si>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</si>
  <si>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</si>
  <si>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</si>
  <si>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</si>
  <si>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</si>
  <si>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</si>
  <si>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</si>
  <si>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</si>
  <si>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</si>
  <si>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</si>
  <si>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</si>
  <si>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</si>
  <si>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</si>
  <si>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</si>
  <si>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</si>
  <si>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</si>
  <si>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</si>
  <si>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</si>
  <si>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</si>
  <si>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</si>
  <si>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</si>
  <si>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</si>
  <si>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</si>
  <si>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</si>
  <si>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</si>
  <si>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</si>
  <si>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</si>
  <si>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</si>
  <si>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</si>
  <si>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</si>
  <si>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</si>
  <si>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</si>
  <si>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</si>
  <si>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</si>
  <si>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</si>
  <si>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</si>
  <si>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</si>
  <si>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</si>
  <si>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</si>
  <si>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</si>
  <si>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</si>
  <si>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</si>
  <si>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</si>
  <si>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</si>
  <si>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</si>
  <si>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</si>
  <si>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</si>
  <si>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</si>
  <si>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</si>
  <si>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</si>
  <si>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</si>
  <si>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</si>
  <si>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</si>
  <si>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</si>
  <si>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</si>
  <si>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</si>
  <si>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</si>
  <si>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</si>
  <si>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</si>
  <si>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</si>
  <si>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</si>
  <si>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</si>
  <si>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</si>
  <si>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</si>
  <si>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</si>
  <si>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</si>
  <si>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</si>
  <si>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</si>
  <si>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</si>
  <si>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</si>
  <si>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</si>
  <si>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</si>
  <si>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</si>
  <si>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</si>
  <si>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</si>
  <si>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</si>
  <si>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</si>
  <si>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</si>
  <si>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</si>
  <si>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</si>
  <si>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</si>
  <si>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</si>
  <si>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</si>
  <si>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</si>
  <si>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</si>
  <si>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</si>
  <si>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</si>
  <si>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</si>
  <si>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</si>
  <si>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</si>
  <si>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</si>
  <si>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</si>
  <si>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</si>
  <si>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</si>
  <si>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</si>
  <si>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</si>
  <si>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</si>
  <si>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</si>
  <si>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</si>
  <si>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</si>
  <si>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</si>
  <si>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</si>
  <si>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</si>
  <si>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</si>
  <si>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</si>
  <si>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</si>
  <si>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</si>
  <si>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</si>
  <si>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</si>
  <si>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</si>
  <si>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</si>
  <si>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</si>
  <si>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</si>
  <si>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</si>
  <si>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</si>
  <si>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</si>
  <si>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</si>
  <si>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</si>
  <si>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</si>
  <si>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</si>
  <si>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</si>
  <si>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</si>
  <si>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</si>
  <si>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</si>
  <si>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</si>
  <si>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</si>
  <si>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</si>
  <si>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</si>
  <si>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</si>
  <si>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</si>
  <si>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</si>
  <si>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</si>
  <si>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</si>
  <si>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</si>
  <si>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</si>
  <si>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</si>
  <si>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</si>
  <si>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</si>
  <si>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</si>
  <si>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</si>
  <si>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</si>
  <si>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</si>
  <si>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</si>
  <si>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</si>
  <si>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</si>
  <si>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</si>
  <si>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</si>
  <si>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</si>
  <si>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</si>
  <si>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</si>
  <si>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</si>
  <si>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</si>
  <si>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</si>
  <si>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</si>
  <si>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</si>
  <si>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</si>
  <si>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</si>
  <si>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</si>
  <si>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</si>
  <si>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</si>
  <si>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</si>
  <si>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</si>
  <si>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</si>
  <si>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</si>
  <si>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</si>
  <si>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</si>
  <si>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</si>
  <si>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</si>
  <si>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</si>
  <si>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</si>
  <si>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</si>
  <si>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</si>
  <si>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</si>
  <si>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</si>
  <si>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</si>
  <si>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</si>
  <si>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</si>
  <si>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</si>
  <si>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</si>
  <si>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</si>
  <si>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</si>
  <si>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</si>
  <si>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</si>
  <si>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</si>
  <si>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</si>
  <si>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</si>
  <si>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</si>
  <si>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</si>
  <si>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</si>
  <si>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</si>
  <si>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</si>
  <si>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</si>
  <si>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</si>
  <si>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</si>
  <si>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</si>
  <si>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</si>
  <si>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</si>
  <si>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</si>
  <si>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</si>
  <si>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</si>
  <si>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</si>
  <si>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</si>
  <si>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</si>
  <si>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</si>
  <si>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</si>
  <si>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</si>
  <si>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</si>
  <si>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</si>
  <si>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</si>
  <si>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</si>
  <si>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</si>
  <si>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</si>
  <si>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</si>
  <si>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</si>
  <si>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</si>
  <si>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</si>
  <si>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</si>
  <si>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</si>
  <si>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</si>
  <si>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</si>
  <si>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</si>
  <si>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</si>
  <si>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</si>
  <si>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</si>
  <si>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</si>
  <si>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</si>
  <si>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</si>
  <si>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</si>
  <si>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</si>
  <si>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</si>
  <si>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</si>
  <si>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</si>
  <si>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</si>
  <si>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</si>
  <si>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</si>
  <si>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</si>
  <si>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</si>
  <si>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</si>
  <si>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</si>
  <si>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</si>
  <si>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</si>
  <si>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</si>
  <si>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</si>
  <si>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</si>
  <si>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</si>
  <si>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</si>
  <si>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</si>
  <si>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</si>
  <si>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</si>
  <si>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</si>
  <si>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</si>
  <si>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</si>
  <si>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</si>
  <si>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</si>
  <si>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</si>
  <si>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</si>
  <si>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</si>
  <si>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</si>
  <si>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</si>
  <si>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</si>
  <si>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</si>
  <si>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</si>
  <si>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</si>
  <si>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</si>
  <si>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</si>
  <si>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</si>
  <si>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</si>
  <si>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</si>
  <si>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</si>
  <si>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</si>
  <si>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</si>
  <si>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</si>
  <si>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</si>
  <si>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</si>
  <si>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</si>
  <si>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</si>
  <si>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</si>
  <si>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</si>
  <si>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</si>
  <si>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</si>
  <si>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</si>
  <si>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</si>
  <si>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</si>
  <si>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</si>
  <si>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</si>
  <si>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</si>
  <si>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</si>
  <si>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</si>
  <si>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</si>
  <si>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</si>
  <si>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</si>
  <si>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</si>
  <si>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</si>
  <si>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</si>
  <si>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</si>
  <si>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</si>
  <si>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</si>
  <si>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</si>
  <si>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</si>
  <si>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</si>
  <si>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</si>
  <si>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</si>
  <si>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</si>
  <si>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</si>
  <si>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</si>
  <si>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</si>
  <si>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</si>
  <si>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</si>
  <si>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</si>
  <si>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</si>
  <si>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</si>
  <si>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</si>
  <si>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</si>
  <si>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</si>
  <si>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</si>
  <si>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</si>
  <si>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</si>
  <si>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</si>
  <si>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</si>
  <si>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</si>
  <si>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</si>
  <si>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</si>
  <si>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</si>
  <si>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</si>
  <si>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</si>
  <si>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</si>
  <si>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</si>
  <si>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</si>
  <si>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</si>
  <si>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</si>
  <si>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</si>
  <si>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</si>
  <si>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</si>
  <si>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</si>
  <si>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</si>
  <si>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</si>
  <si>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</si>
  <si>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</si>
  <si>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</si>
  <si>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</si>
  <si>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</si>
  <si>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</si>
  <si>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</si>
  <si>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</si>
  <si>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</si>
  <si>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</si>
  <si>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</si>
  <si>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</si>
  <si>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</si>
  <si>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</si>
  <si>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</si>
  <si>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</si>
  <si>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</si>
  <si>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</si>
  <si>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</si>
  <si>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</si>
  <si>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</si>
  <si>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</si>
  <si>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</si>
  <si>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</si>
  <si>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</si>
  <si>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</si>
  <si>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</si>
  <si>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</si>
  <si>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</si>
  <si>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</si>
  <si>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</si>
  <si>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</si>
  <si>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</si>
  <si>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</si>
  <si>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</si>
  <si>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</si>
  <si>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</si>
  <si>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</si>
  <si>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</si>
  <si>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</si>
  <si>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</si>
  <si>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</si>
  <si>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</si>
  <si>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</si>
  <si>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</si>
  <si>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</si>
  <si>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</si>
  <si>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</si>
  <si>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</si>
  <si>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</si>
  <si>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</si>
  <si>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</si>
  <si>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</si>
  <si>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</si>
  <si>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</si>
  <si>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</si>
  <si>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</si>
  <si>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</si>
  <si>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</si>
  <si>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</si>
  <si>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</si>
  <si>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</si>
  <si>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</si>
  <si>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</si>
  <si>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</si>
  <si>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</si>
  <si>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</si>
  <si>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</si>
  <si>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</si>
  <si>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</si>
  <si>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</si>
  <si>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</si>
  <si>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</si>
  <si>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</si>
  <si>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</si>
  <si>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</si>
  <si>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</si>
  <si>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</si>
  <si>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</si>
  <si>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</si>
  <si>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</si>
  <si>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</si>
  <si>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</si>
  <si>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</si>
  <si>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</si>
  <si>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</si>
  <si>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</si>
  <si>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</si>
  <si>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</si>
  <si>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</si>
  <si>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</si>
  <si>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</si>
  <si>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</si>
  <si>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</si>
  <si>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</si>
  <si>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</si>
  <si>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</si>
  <si>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</si>
  <si>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</si>
  <si>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</si>
  <si>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</si>
  <si>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</si>
  <si>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</si>
  <si>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</si>
  <si>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</si>
  <si>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</si>
  <si>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</si>
  <si>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</si>
  <si>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</si>
  <si>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</si>
  <si>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</si>
  <si>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</si>
  <si>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</si>
  <si>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</si>
  <si>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</si>
  <si>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</si>
  <si>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</si>
  <si>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</si>
  <si>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</si>
  <si>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</si>
  <si>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</si>
  <si>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</si>
  <si>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</si>
  <si>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</si>
  <si>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</si>
  <si>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</si>
  <si>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</si>
  <si>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</si>
  <si>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</si>
  <si>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</si>
  <si>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</si>
  <si>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</si>
  <si>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</si>
  <si>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</si>
  <si>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</si>
  <si>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</si>
  <si>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</si>
  <si>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</si>
  <si>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</si>
  <si>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</si>
  <si>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</si>
  <si>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</si>
  <si>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</si>
  <si>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</si>
  <si>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</si>
  <si>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</si>
  <si>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</si>
  <si>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</si>
  <si>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</si>
  <si>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</si>
  <si>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</si>
  <si>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</si>
  <si>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</si>
  <si>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</si>
  <si>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</si>
  <si>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</si>
  <si>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</si>
  <si>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</si>
  <si>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</si>
  <si>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</si>
  <si>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</si>
  <si>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</si>
  <si>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</si>
  <si>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</si>
  <si>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</si>
  <si>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</si>
  <si>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</si>
  <si>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</si>
  <si>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</si>
  <si>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</si>
  <si>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</si>
  <si>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</si>
  <si>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</si>
  <si>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</si>
  <si>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</si>
  <si>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</si>
  <si>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</si>
  <si>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</si>
  <si>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</si>
  <si>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</si>
  <si>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</si>
  <si>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</si>
  <si>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</si>
  <si>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</si>
  <si>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</si>
  <si>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</si>
  <si>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</si>
  <si>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</si>
  <si>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</si>
  <si>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</si>
  <si>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</si>
  <si>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</si>
  <si>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</si>
  <si>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</si>
  <si>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</si>
  <si>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</si>
  <si>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</si>
  <si>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</si>
  <si>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</si>
  <si>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</si>
  <si>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</si>
  <si>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</si>
  <si>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</si>
  <si>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</si>
  <si>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</si>
  <si>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</si>
  <si>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</si>
  <si>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</si>
  <si>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</si>
  <si>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</si>
  <si>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</si>
  <si>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</si>
  <si>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</si>
  <si>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</si>
  <si>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</si>
  <si>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</si>
  <si>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</si>
  <si>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</si>
  <si>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</si>
  <si>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</si>
  <si>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</si>
  <si>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</si>
  <si>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</si>
  <si>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</si>
  <si>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</si>
  <si>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</si>
  <si>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</si>
  <si>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</si>
  <si>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</si>
  <si>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</si>
  <si>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</si>
  <si>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</si>
  <si>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</si>
  <si>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</si>
  <si>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</si>
  <si>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</si>
  <si>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</si>
  <si>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</si>
  <si>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</si>
  <si>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</si>
  <si>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</si>
  <si>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</si>
  <si>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</si>
  <si>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</si>
  <si>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</si>
  <si>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</si>
  <si>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</si>
  <si>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</si>
  <si>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</si>
  <si>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</si>
  <si>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</si>
  <si>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</si>
  <si>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</si>
  <si>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</si>
  <si>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</si>
  <si>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</si>
  <si>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</si>
  <si>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</si>
  <si>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</si>
  <si>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</si>
  <si>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</si>
  <si>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</si>
  <si>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</si>
  <si>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</si>
  <si>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</si>
  <si>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</si>
  <si>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</si>
  <si>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</si>
  <si>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</si>
  <si>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</si>
  <si>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</si>
  <si>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</si>
  <si>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</si>
  <si>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</si>
  <si>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</si>
  <si>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</si>
  <si>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</si>
  <si>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</si>
  <si>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</si>
  <si>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</si>
  <si>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</si>
  <si>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</si>
  <si>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</si>
  <si>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</si>
  <si>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</si>
  <si>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</si>
  <si>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</si>
  <si>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</si>
  <si>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Tax 5%</t>
  </si>
  <si>
    <t>Sum of Total</t>
  </si>
  <si>
    <t>Jan</t>
  </si>
  <si>
    <t>Feb</t>
  </si>
  <si>
    <t>Mar</t>
  </si>
  <si>
    <t>Sum of gross income</t>
  </si>
  <si>
    <t>SUM OF TOTAL TAX(5%):</t>
  </si>
  <si>
    <t>FOR ALL PIVOT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</si>
</sst>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5"/>
      <color theme="1"/>
      <name val="Calibri"/>
      <family val="2"/>
      <scheme val="minor"/>
    </font>
    <font>
      <sz val="16"/>
      <color theme="2"/>
      <name val="Calibri"/>
      <family val="2"/>
      <scheme val="minor"/>
    </font>
    <font>
      <b/>
      <sz val="16"/>
      <color theme="2"/>
      <name val="Calibri"/>
      <family val="2"/>
      <scheme val="minor"/>
    </font>
    <font>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2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0" fontId="18" fillId="0" borderId="0" xfId="0" applyFont="1" applyAlignment="1">
      <alignment vertical="center"/>
    </xf>
    <xf numFmtId="0" fontId="0" fillId="0" borderId="0" xfId="0" applyAlignment="1">
      <alignment horizontal="left" vertical="center" indent="1"/>
    </xf>
    <xf numFmtId="0" fontId="0" fillId="33" borderId="0" xfId="0" applyFill="1"/>
    <xf numFmtId="0" fontId="20" fillId="33" borderId="0" xfId="0" applyFont="1" applyFill="1" applyAlignment="1">
      <alignment horizontal="center"/>
    </xf>
    <xf numFmtId="0" fontId="19" fillId="33" borderId="0" xfId="0" applyFont="1" applyFill="1" applyAlignment="1">
      <alignment horizontal="center"/>
    </xf>
    <xf numFmtId="0" fontId="21"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[Joy Pyne Dashbord.xlsx]Sheet1!PivotTable1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multiLvlStrRef>
              <c:f>Sheet1!$A$4:$A$25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c:v>
                  </c:pt>
                  <c:pt idx="6">
                    <c:v>B</c:v>
                  </c:pt>
                  <c:pt idx="12">
                    <c:v>C</c:v>
                  </c:pt>
                </c:lvl>
              </c:multiLvlStrCache>
            </c:multiLvlStrRef>
          </c:cat>
          <c:val>
            <c:numRef>
              <c:f>Sheet1!$B$4:$B$25</c:f>
              <c:numCache>
                <c:formatCode>General</c:formatCode>
                <c:ptCount val="18"/>
                <c:pt idx="0">
                  <c:v>872.24350000000015</c:v>
                </c:pt>
                <c:pt idx="1">
                  <c:v>777.73850000000016</c:v>
                </c:pt>
                <c:pt idx="2">
                  <c:v>817.29049999999995</c:v>
                </c:pt>
                <c:pt idx="3">
                  <c:v>599.89300000000003</c:v>
                </c:pt>
                <c:pt idx="4">
                  <c:v>1067.4854999999998</c:v>
                </c:pt>
                <c:pt idx="5">
                  <c:v>922.5095</c:v>
                </c:pt>
                <c:pt idx="6">
                  <c:v>811.97350000000006</c:v>
                </c:pt>
                <c:pt idx="7">
                  <c:v>781.58649999999989</c:v>
                </c:pt>
                <c:pt idx="8">
                  <c:v>724.5184999999999</c:v>
                </c:pt>
                <c:pt idx="9">
                  <c:v>951.45999999999992</c:v>
                </c:pt>
                <c:pt idx="10">
                  <c:v>835.67450000000008</c:v>
                </c:pt>
                <c:pt idx="11">
                  <c:v>951.81899999999973</c:v>
                </c:pt>
                <c:pt idx="12">
                  <c:v>903.28449999999987</c:v>
                </c:pt>
                <c:pt idx="13">
                  <c:v>1026.67</c:v>
                </c:pt>
                <c:pt idx="14">
                  <c:v>1131.7549999999999</c:v>
                </c:pt>
                <c:pt idx="15">
                  <c:v>791.20600000000002</c:v>
                </c:pt>
                <c:pt idx="16">
                  <c:v>661.69300000000021</c:v>
                </c:pt>
                <c:pt idx="17">
                  <c:v>750.56800000000032</c:v>
                </c:pt>
              </c:numCache>
            </c:numRef>
          </c:val>
          <c:extLst>
            <c:ext xmlns:c16="http://schemas.microsoft.com/office/drawing/2014/chart" uri="{C3380CC4-5D6E-409C-BE32-E72D297353CC}">
              <c16:uniqueId val="{00000000-C5BD-48BD-A5C7-86CD0816EDBC}"/>
            </c:ext>
          </c:extLst>
        </c:ser>
        <c:dLbls>
          <c:showLegendKey val="0"/>
          <c:showVal val="0"/>
          <c:showCatName val="0"/>
          <c:showSerName val="0"/>
          <c:showPercent val="0"/>
          <c:showBubbleSize val="0"/>
        </c:dLbls>
        <c:gapWidth val="182"/>
        <c:axId val="1813463296"/>
        <c:axId val="1813451296"/>
      </c:barChart>
      <c:catAx>
        <c:axId val="181346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51296"/>
        <c:crosses val="autoZero"/>
        <c:auto val="1"/>
        <c:lblAlgn val="ctr"/>
        <c:lblOffset val="100"/>
        <c:noMultiLvlLbl val="0"/>
      </c:catAx>
      <c:valAx>
        <c:axId val="1813451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6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[Joy Pyne Dashbord.xlsx]Sheet1!PivotTable4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Sheet1!$K$3</c:f>
              <c:strCache>
                <c:ptCount val="1"/>
                <c:pt idx="0">
                  <c:v>Total</c:v>
                </c:pt>
              </c:strCache>
            </c:strRef>
          </c:tx>
          <c:spPr>
            <a:ln w="28575" cap="rnd">
              <a:solidFill>
                <a:schemeClr val="accent1"/>
              </a:solidFill>
              <a:round/>
            </a:ln>
            <a:effectLst/>
          </c:spPr>
          <c:marker>
            <c:symbol val="none"/>
          </c:marker>
          <c:cat>
            <c:multiLvlStrRef>
              <c:f>Sheet1!$J$4:$J$12</c:f>
              <c:multiLvlStrCache>
                <c:ptCount val="6"/>
                <c:lvl>
                  <c:pt idx="0">
                    <c:v>Jan</c:v>
                  </c:pt>
                  <c:pt idx="1">
                    <c:v>Feb</c:v>
                  </c:pt>
                  <c:pt idx="2">
                    <c:v>Mar</c:v>
                  </c:pt>
                  <c:pt idx="3">
                    <c:v>Jan</c:v>
                  </c:pt>
                  <c:pt idx="4">
                    <c:v>Feb</c:v>
                  </c:pt>
                  <c:pt idx="5">
                    <c:v>Mar</c:v>
                  </c:pt>
                </c:lvl>
                <c:lvl>
                  <c:pt idx="0">
                    <c:v>Member</c:v>
                  </c:pt>
                  <c:pt idx="3">
                    <c:v>Normal</c:v>
                  </c:pt>
                </c:lvl>
              </c:multiLvlStrCache>
            </c:multiLvlStrRef>
          </c:cat>
          <c:val>
            <c:numRef>
              <c:f>Sheet1!$K$4:$K$12</c:f>
              <c:numCache>
                <c:formatCode>General</c:formatCode>
                <c:ptCount val="6"/>
                <c:pt idx="0">
                  <c:v>57914.829000000005</c:v>
                </c:pt>
                <c:pt idx="1">
                  <c:v>50296.049999999988</c:v>
                </c:pt>
                <c:pt idx="2">
                  <c:v>56012.565000000017</c:v>
                </c:pt>
                <c:pt idx="3">
                  <c:v>58377.039000000012</c:v>
                </c:pt>
                <c:pt idx="4">
                  <c:v>46923.323999999993</c:v>
                </c:pt>
                <c:pt idx="5">
                  <c:v>53442.941999999974</c:v>
                </c:pt>
              </c:numCache>
            </c:numRef>
          </c:val>
          <c:smooth val="0"/>
          <c:extLst>
            <c:ext xmlns:c16="http://schemas.microsoft.com/office/drawing/2014/chart" uri="{C3380CC4-5D6E-409C-BE32-E72D297353CC}">
              <c16:uniqueId val="{00000000-E87D-4744-9E14-919C0BD1EA8C}"/>
            </c:ext>
          </c:extLst>
        </c:ser>
        <c:dLbls>
          <c:showLegendKey val="0"/>
          <c:showVal val="0"/>
          <c:showCatName val="0"/>
          <c:showSerName val="0"/>
          <c:showPercent val="0"/>
          <c:showBubbleSize val="0"/>
        </c:dLbls>
        <c:smooth val="0"/>
        <c:axId val="1813494976"/>
        <c:axId val="1813499296"/>
      </c:lineChart>
      <c:catAx>
        <c:axId val="18134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99296"/>
        <c:crosses val="autoZero"/>
        <c:auto val="1"/>
        <c:lblAlgn val="ctr"/>
        <c:lblOffset val="100"/>
        <c:noMultiLvlLbl val="0"/>
      </c:catAx>
      <c:valAx>
        <c:axId val="181349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[Joy Pyne Dashbord.xlsx]Sheet1!PivotTable2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166221990846"/>
          <c:y val="0.26328484981044037"/>
          <c:w val="0.75053491247478366"/>
          <c:h val="0.46043708078156897"/>
        </c:manualLayout>
      </c:layout>
      <c:barChart>
        <c:barDir val="col"/>
        <c:grouping val="clustered"/>
        <c:varyColors val="0"/>
        <c:ser>
          <c:idx val="0"/>
          <c:order val="0"/>
          <c:tx>
            <c:strRef>
              <c:f>Sheet1!$G$3</c:f>
              <c:strCache>
                <c:ptCount val="1"/>
                <c:pt idx="0">
                  <c:v>Total</c:v>
                </c:pt>
              </c:strCache>
            </c:strRef>
          </c:tx>
          <c:spPr>
            <a:solidFill>
              <a:schemeClr val="accent1"/>
            </a:solidFill>
            <a:ln>
              <a:noFill/>
            </a:ln>
            <a:effectLst/>
          </c:spPr>
          <c:invertIfNegative val="0"/>
          <c:cat>
            <c:multiLvlStrRef>
              <c:f>Sheet1!$F$4:$F$10</c:f>
              <c:multiLvlStrCache>
                <c:ptCount val="4"/>
                <c:lvl>
                  <c:pt idx="0">
                    <c:v>Female</c:v>
                  </c:pt>
                  <c:pt idx="1">
                    <c:v>Male</c:v>
                  </c:pt>
                  <c:pt idx="2">
                    <c:v>Female</c:v>
                  </c:pt>
                  <c:pt idx="3">
                    <c:v>Male</c:v>
                  </c:pt>
                </c:lvl>
                <c:lvl>
                  <c:pt idx="0">
                    <c:v>Member</c:v>
                  </c:pt>
                  <c:pt idx="2">
                    <c:v>Normal</c:v>
                  </c:pt>
                </c:lvl>
              </c:multiLvlStrCache>
            </c:multiLvlStrRef>
          </c:cat>
          <c:val>
            <c:numRef>
              <c:f>Sheet1!$G$4:$G$10</c:f>
              <c:numCache>
                <c:formatCode>General</c:formatCode>
                <c:ptCount val="4"/>
                <c:pt idx="0">
                  <c:v>88146.943499999965</c:v>
                </c:pt>
                <c:pt idx="1">
                  <c:v>76076.500499999951</c:v>
                </c:pt>
                <c:pt idx="2">
                  <c:v>79735.98149999998</c:v>
                </c:pt>
                <c:pt idx="3">
                  <c:v>79007.323499999999</c:v>
                </c:pt>
              </c:numCache>
            </c:numRef>
          </c:val>
          <c:extLst>
            <c:ext xmlns:c16="http://schemas.microsoft.com/office/drawing/2014/chart" uri="{C3380CC4-5D6E-409C-BE32-E72D297353CC}">
              <c16:uniqueId val="{00000000-C058-4D67-985F-968AB325F32E}"/>
            </c:ext>
          </c:extLst>
        </c:ser>
        <c:dLbls>
          <c:showLegendKey val="0"/>
          <c:showVal val="0"/>
          <c:showCatName val="0"/>
          <c:showSerName val="0"/>
          <c:showPercent val="0"/>
          <c:showBubbleSize val="0"/>
        </c:dLbls>
        <c:gapWidth val="219"/>
        <c:overlap val="-27"/>
        <c:axId val="2047440976"/>
        <c:axId val="2047451536"/>
      </c:barChart>
      <c:catAx>
        <c:axId val="204744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51536"/>
        <c:crosses val="autoZero"/>
        <c:auto val="1"/>
        <c:lblAlgn val="ctr"/>
        <c:lblOffset val="100"/>
        <c:noMultiLvlLbl val="0"/>
      </c:catAx>
      <c:valAx>
        <c:axId val="204745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4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[Joy Pyne Dashbord.xlsx]Sheet1!PivotTable6</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Sheet1!$W$9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FF4-4F1C-9B69-DCF0231078E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F4-4F1C-9B69-DCF0231078E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FF4-4F1C-9B69-DCF0231078E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Sheet1!$V$10:$V$16</c:f>
              <c:multiLvlStrCache>
                <c:ptCount val="3"/>
                <c:lvl>
                  <c:pt idx="0">
                    <c:v>Yangon</c:v>
                  </c:pt>
                  <c:pt idx="1">
                    <c:v>Mandalay</c:v>
                  </c:pt>
                  <c:pt idx="2">
                    <c:v>Naypyitaw</c:v>
                  </c:pt>
                </c:lvl>
                <c:lvl>
                  <c:pt idx="0">
                    <c:v>A</c:v>
                  </c:pt>
                  <c:pt idx="1">
                    <c:v>B</c:v>
                  </c:pt>
                  <c:pt idx="2">
                    <c:v>C</c:v>
                  </c:pt>
                </c:lvl>
              </c:multiLvlStrCache>
            </c:multiLvlStrRef>
          </c:cat>
          <c:val>
            <c:numRef>
              <c:f>Sheet1!$W$10:$W$16</c:f>
              <c:numCache>
                <c:formatCode>General</c:formatCode>
                <c:ptCount val="3"/>
                <c:pt idx="0">
                  <c:v>5057.1605000000018</c:v>
                </c:pt>
                <c:pt idx="1">
                  <c:v>5057.0320000000029</c:v>
                </c:pt>
                <c:pt idx="2">
                  <c:v>5265.1765000000023</c:v>
                </c:pt>
              </c:numCache>
            </c:numRef>
          </c:val>
          <c:extLst>
            <c:ext xmlns:c16="http://schemas.microsoft.com/office/drawing/2014/chart" uri="{C3380CC4-5D6E-409C-BE32-E72D297353CC}">
              <c16:uniqueId val="{00000000-3B6D-4085-8482-BF0BB50B3C5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[Joy Pyne Dashbord.xlsx]Sheet1!PivotTable5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Sheet1!$AB$6</c:f>
              <c:strCache>
                <c:ptCount val="1"/>
                <c:pt idx="0">
                  <c:v>Total</c:v>
                </c:pt>
              </c:strCache>
            </c:strRef>
          </c:tx>
          <c:spPr>
            <a:solidFill>
              <a:schemeClr val="accent1"/>
            </a:solidFill>
            <a:ln>
              <a:noFill/>
            </a:ln>
            <a:effectLst/>
          </c:spPr>
          <c:invertIfNegative val="0"/>
          <c:cat>
            <c:multiLvlStrRef>
              <c:f>Sheet1!$AA$7:$AA$19</c:f>
              <c:multiLvlStrCache>
                <c:ptCount val="9"/>
                <c:lvl>
                  <c:pt idx="0">
                    <c:v>Jan</c:v>
                  </c:pt>
                  <c:pt idx="1">
                    <c:v>Feb</c:v>
                  </c:pt>
                  <c:pt idx="2">
                    <c:v>Mar</c:v>
                  </c:pt>
                  <c:pt idx="3">
                    <c:v>Jan</c:v>
                  </c:pt>
                  <c:pt idx="4">
                    <c:v>Feb</c:v>
                  </c:pt>
                  <c:pt idx="5">
                    <c:v>Mar</c:v>
                  </c:pt>
                  <c:pt idx="6">
                    <c:v>Jan</c:v>
                  </c:pt>
                  <c:pt idx="7">
                    <c:v>Feb</c:v>
                  </c:pt>
                  <c:pt idx="8">
                    <c:v>Mar</c:v>
                  </c:pt>
                </c:lvl>
                <c:lvl>
                  <c:pt idx="0">
                    <c:v>Cash</c:v>
                  </c:pt>
                  <c:pt idx="3">
                    <c:v>Credit card</c:v>
                  </c:pt>
                  <c:pt idx="6">
                    <c:v>Ewallet</c:v>
                  </c:pt>
                </c:lvl>
              </c:multiLvlStrCache>
            </c:multiLvlStrRef>
          </c:cat>
          <c:val>
            <c:numRef>
              <c:f>Sheet1!$AB$7:$AB$19</c:f>
              <c:numCache>
                <c:formatCode>General</c:formatCode>
                <c:ptCount val="9"/>
                <c:pt idx="0">
                  <c:v>41770.081499999993</c:v>
                </c:pt>
                <c:pt idx="1">
                  <c:v>35746.336499999998</c:v>
                </c:pt>
                <c:pt idx="2">
                  <c:v>34690.151999999987</c:v>
                </c:pt>
                <c:pt idx="3">
                  <c:v>38246.575500000014</c:v>
                </c:pt>
                <c:pt idx="4">
                  <c:v>31360.024500000007</c:v>
                </c:pt>
                <c:pt idx="5">
                  <c:v>31160.471999999991</c:v>
                </c:pt>
                <c:pt idx="6">
                  <c:v>36275.210999999981</c:v>
                </c:pt>
                <c:pt idx="7">
                  <c:v>30113.013000000003</c:v>
                </c:pt>
                <c:pt idx="8">
                  <c:v>43604.882999999987</c:v>
                </c:pt>
              </c:numCache>
            </c:numRef>
          </c:val>
          <c:extLst>
            <c:ext xmlns:c16="http://schemas.microsoft.com/office/drawing/2014/chart" uri="{C3380CC4-5D6E-409C-BE32-E72D297353CC}">
              <c16:uniqueId val="{00000000-64B9-492B-8C6E-E2AB30270D12}"/>
            </c:ext>
          </c:extLst>
        </c:ser>
        <c:dLbls>
          <c:showLegendKey val="0"/>
          <c:showVal val="0"/>
          <c:showCatName val="0"/>
          <c:showSerName val="0"/>
          <c:showPercent val="0"/>
          <c:showBubbleSize val="0"/>
        </c:dLbls>
        <c:gapWidth val="219"/>
        <c:overlap val="-27"/>
        <c:axId val="1041438559"/>
        <c:axId val="1041439039"/>
      </c:barChart>
      <c:catAx>
        <c:axId val="104143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439039"/>
        <c:crosses val="autoZero"/>
        <c:auto val="1"/>
        <c:lblAlgn val="ctr"/>
        <c:lblOffset val="100"/>
        <c:noMultiLvlLbl val="0"/>
      </c:catAx>
      <c:valAx>
        <c:axId val="104143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43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[Joy Pyne Dashbord.xlsx]Sheet1!PivotTable2</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c:f>
              <c:strCache>
                <c:ptCount val="1"/>
                <c:pt idx="0">
                  <c:v>Total</c:v>
                </c:pt>
              </c:strCache>
            </c:strRef>
          </c:tx>
          <c:spPr>
            <a:solidFill>
              <a:schemeClr val="accent1"/>
            </a:solidFill>
            <a:ln>
              <a:noFill/>
            </a:ln>
            <a:effectLst/>
          </c:spPr>
          <c:invertIfNegative val="0"/>
          <c:cat>
            <c:multiLvlStrRef>
              <c:f>Sheet1!$F$4:$F$10</c:f>
              <c:multiLvlStrCache>
                <c:ptCount val="4"/>
                <c:lvl>
                  <c:pt idx="0">
                    <c:v>Female</c:v>
                  </c:pt>
                  <c:pt idx="1">
                    <c:v>Male</c:v>
                  </c:pt>
                  <c:pt idx="2">
                    <c:v>Female</c:v>
                  </c:pt>
                  <c:pt idx="3">
                    <c:v>Male</c:v>
                  </c:pt>
                </c:lvl>
                <c:lvl>
                  <c:pt idx="0">
                    <c:v>Member</c:v>
                  </c:pt>
                  <c:pt idx="2">
                    <c:v>Normal</c:v>
                  </c:pt>
                </c:lvl>
              </c:multiLvlStrCache>
            </c:multiLvlStrRef>
          </c:cat>
          <c:val>
            <c:numRef>
              <c:f>Sheet1!$G$4:$G$10</c:f>
              <c:numCache>
                <c:formatCode>General</c:formatCode>
                <c:ptCount val="4"/>
                <c:pt idx="0">
                  <c:v>88146.943499999965</c:v>
                </c:pt>
                <c:pt idx="1">
                  <c:v>76076.500499999951</c:v>
                </c:pt>
                <c:pt idx="2">
                  <c:v>79735.98149999998</c:v>
                </c:pt>
                <c:pt idx="3">
                  <c:v>79007.323499999999</c:v>
                </c:pt>
              </c:numCache>
            </c:numRef>
          </c:val>
          <c:extLst>
            <c:ext xmlns:c16="http://schemas.microsoft.com/office/drawing/2014/chart" uri="{C3380CC4-5D6E-409C-BE32-E72D297353CC}">
              <c16:uniqueId val="{00000000-8358-4D16-B7EC-EC12FD5AB7CF}"/>
            </c:ext>
          </c:extLst>
        </c:ser>
        <c:dLbls>
          <c:showLegendKey val="0"/>
          <c:showVal val="0"/>
          <c:showCatName val="0"/>
          <c:showSerName val="0"/>
          <c:showPercent val="0"/>
          <c:showBubbleSize val="0"/>
        </c:dLbls>
        <c:gapWidth val="219"/>
        <c:overlap val="-27"/>
        <c:axId val="2047440976"/>
        <c:axId val="2047451536"/>
      </c:barChart>
      <c:catAx>
        <c:axId val="204744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7451536"/>
        <c:crosses val="autoZero"/>
        <c:auto val="1"/>
        <c:lblAlgn val="ctr"/>
        <c:lblOffset val="100"/>
        <c:noMultiLvlLbl val="0"/>
      </c:catAx>
      <c:valAx>
        <c:axId val="204745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744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w="9525" cap="flat" cmpd="sng" algn="ctr">
      <a:noFill/>
      <a:round/>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[Joy Pyne Dashbord.xlsx]Sheet1!PivotTable1</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c:v>
                  </c:pt>
                  <c:pt idx="6">
                    <c:v>B</c:v>
                  </c:pt>
                  <c:pt idx="12">
                    <c:v>C</c:v>
                  </c:pt>
                </c:lvl>
              </c:multiLvlStrCache>
            </c:multiLvlStrRef>
          </c:cat>
          <c:val>
            <c:numRef>
              <c:f>Sheet1!$B$4:$B$25</c:f>
              <c:numCache>
                <c:formatCode>General</c:formatCode>
                <c:ptCount val="18"/>
                <c:pt idx="0">
                  <c:v>872.24350000000015</c:v>
                </c:pt>
                <c:pt idx="1">
                  <c:v>777.73850000000016</c:v>
                </c:pt>
                <c:pt idx="2">
                  <c:v>817.29049999999995</c:v>
                </c:pt>
                <c:pt idx="3">
                  <c:v>599.89300000000003</c:v>
                </c:pt>
                <c:pt idx="4">
                  <c:v>1067.4854999999998</c:v>
                </c:pt>
                <c:pt idx="5">
                  <c:v>922.5095</c:v>
                </c:pt>
                <c:pt idx="6">
                  <c:v>811.97350000000006</c:v>
                </c:pt>
                <c:pt idx="7">
                  <c:v>781.58649999999989</c:v>
                </c:pt>
                <c:pt idx="8">
                  <c:v>724.5184999999999</c:v>
                </c:pt>
                <c:pt idx="9">
                  <c:v>951.45999999999992</c:v>
                </c:pt>
                <c:pt idx="10">
                  <c:v>835.67450000000008</c:v>
                </c:pt>
                <c:pt idx="11">
                  <c:v>951.81899999999973</c:v>
                </c:pt>
                <c:pt idx="12">
                  <c:v>903.28449999999987</c:v>
                </c:pt>
                <c:pt idx="13">
                  <c:v>1026.67</c:v>
                </c:pt>
                <c:pt idx="14">
                  <c:v>1131.7549999999999</c:v>
                </c:pt>
                <c:pt idx="15">
                  <c:v>791.20600000000002</c:v>
                </c:pt>
                <c:pt idx="16">
                  <c:v>661.69300000000021</c:v>
                </c:pt>
                <c:pt idx="17">
                  <c:v>750.56800000000032</c:v>
                </c:pt>
              </c:numCache>
            </c:numRef>
          </c:val>
          <c:extLst>
            <c:ext xmlns:c16="http://schemas.microsoft.com/office/drawing/2014/chart" uri="{C3380CC4-5D6E-409C-BE32-E72D297353CC}">
              <c16:uniqueId val="{00000000-CE8E-4ECC-93DF-51D5DBF4DB48}"/>
            </c:ext>
          </c:extLst>
        </c:ser>
        <c:dLbls>
          <c:showLegendKey val="0"/>
          <c:showVal val="0"/>
          <c:showCatName val="0"/>
          <c:showSerName val="0"/>
          <c:showPercent val="0"/>
          <c:showBubbleSize val="0"/>
        </c:dLbls>
        <c:gapWidth val="115"/>
        <c:overlap val="-20"/>
        <c:axId val="1813463296"/>
        <c:axId val="1813451296"/>
      </c:barChart>
      <c:catAx>
        <c:axId val="18134632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3451296"/>
        <c:crosses val="autoZero"/>
        <c:auto val="1"/>
        <c:lblAlgn val="ctr"/>
        <c:lblOffset val="100"/>
        <c:noMultiLvlLbl val="0"/>
      </c:catAx>
      <c:valAx>
        <c:axId val="18134512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346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a:noFill/>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[Joy Pyne Dashbord.xlsx]Sheet1!PivotTable4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Sheet1!$K$3</c:f>
              <c:strCache>
                <c:ptCount val="1"/>
                <c:pt idx="0">
                  <c:v>Total</c:v>
                </c:pt>
              </c:strCache>
            </c:strRef>
          </c:tx>
          <c:spPr>
            <a:ln w="28575" cap="rnd">
              <a:solidFill>
                <a:schemeClr val="accent1"/>
              </a:solidFill>
              <a:round/>
            </a:ln>
            <a:effectLst/>
          </c:spPr>
          <c:marker>
            <c:symbol val="none"/>
          </c:marker>
          <c:cat>
            <c:multiLvlStrRef>
              <c:f>Sheet1!$J$4:$J$12</c:f>
              <c:multiLvlStrCache>
                <c:ptCount val="6"/>
                <c:lvl>
                  <c:pt idx="0">
                    <c:v>Jan</c:v>
                  </c:pt>
                  <c:pt idx="1">
                    <c:v>Feb</c:v>
                  </c:pt>
                  <c:pt idx="2">
                    <c:v>Mar</c:v>
                  </c:pt>
                  <c:pt idx="3">
                    <c:v>Jan</c:v>
                  </c:pt>
                  <c:pt idx="4">
                    <c:v>Feb</c:v>
                  </c:pt>
                  <c:pt idx="5">
                    <c:v>Mar</c:v>
                  </c:pt>
                </c:lvl>
                <c:lvl>
                  <c:pt idx="0">
                    <c:v>Member</c:v>
                  </c:pt>
                  <c:pt idx="3">
                    <c:v>Normal</c:v>
                  </c:pt>
                </c:lvl>
              </c:multiLvlStrCache>
            </c:multiLvlStrRef>
          </c:cat>
          <c:val>
            <c:numRef>
              <c:f>Sheet1!$K$4:$K$12</c:f>
              <c:numCache>
                <c:formatCode>General</c:formatCode>
                <c:ptCount val="6"/>
                <c:pt idx="0">
                  <c:v>57914.829000000005</c:v>
                </c:pt>
                <c:pt idx="1">
                  <c:v>50296.049999999988</c:v>
                </c:pt>
                <c:pt idx="2">
                  <c:v>56012.565000000017</c:v>
                </c:pt>
                <c:pt idx="3">
                  <c:v>58377.039000000012</c:v>
                </c:pt>
                <c:pt idx="4">
                  <c:v>46923.323999999993</c:v>
                </c:pt>
                <c:pt idx="5">
                  <c:v>53442.941999999974</c:v>
                </c:pt>
              </c:numCache>
            </c:numRef>
          </c:val>
          <c:smooth val="0"/>
          <c:extLst>
            <c:ext xmlns:c16="http://schemas.microsoft.com/office/drawing/2014/chart" uri="{C3380CC4-5D6E-409C-BE32-E72D297353CC}">
              <c16:uniqueId val="{00000000-E66B-4047-884B-B6F907F1A1AB}"/>
            </c:ext>
          </c:extLst>
        </c:ser>
        <c:dLbls>
          <c:showLegendKey val="0"/>
          <c:showVal val="0"/>
          <c:showCatName val="0"/>
          <c:showSerName val="0"/>
          <c:showPercent val="0"/>
          <c:showBubbleSize val="0"/>
        </c:dLbls>
        <c:smooth val="0"/>
        <c:axId val="1813494976"/>
        <c:axId val="1813499296"/>
      </c:lineChart>
      <c:catAx>
        <c:axId val="18134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3499296"/>
        <c:crosses val="autoZero"/>
        <c:auto val="1"/>
        <c:lblAlgn val="ctr"/>
        <c:lblOffset val="100"/>
        <c:noMultiLvlLbl val="0"/>
      </c:catAx>
      <c:valAx>
        <c:axId val="181349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34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w="9525" cap="flat" cmpd="sng" algn="ctr">
      <a:noFill/>
      <a:round/>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[Joy Pyne Dashbord.xlsx]Sheet1!PivotTable5</c:name>
    <c:fmtId val="1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Sheet1!$AA$7:$AA$19</c:f>
              <c:multiLvlStrCache>
                <c:ptCount val="9"/>
                <c:lvl>
                  <c:pt idx="0">
                    <c:v>Jan</c:v>
                  </c:pt>
                  <c:pt idx="1">
                    <c:v>Feb</c:v>
                  </c:pt>
                  <c:pt idx="2">
                    <c:v>Mar</c:v>
                  </c:pt>
                  <c:pt idx="3">
                    <c:v>Jan</c:v>
                  </c:pt>
                  <c:pt idx="4">
                    <c:v>Feb</c:v>
                  </c:pt>
                  <c:pt idx="5">
                    <c:v>Mar</c:v>
                  </c:pt>
                  <c:pt idx="6">
                    <c:v>Jan</c:v>
                  </c:pt>
                  <c:pt idx="7">
                    <c:v>Feb</c:v>
                  </c:pt>
                  <c:pt idx="8">
                    <c:v>Mar</c:v>
                  </c:pt>
                </c:lvl>
                <c:lvl>
                  <c:pt idx="0">
                    <c:v>Cash</c:v>
                  </c:pt>
                  <c:pt idx="3">
                    <c:v>Credit card</c:v>
                  </c:pt>
                  <c:pt idx="6">
                    <c:v>Ewallet</c:v>
                  </c:pt>
                </c:lvl>
              </c:multiLvlStrCache>
            </c:multiLvlStrRef>
          </c:cat>
          <c:val>
            <c:numRef>
              <c:f>Sheet1!$AB$7:$AB$19</c:f>
              <c:numCache>
                <c:formatCode>General</c:formatCode>
                <c:ptCount val="9"/>
                <c:pt idx="0">
                  <c:v>41770.081499999993</c:v>
                </c:pt>
                <c:pt idx="1">
                  <c:v>35746.336499999998</c:v>
                </c:pt>
                <c:pt idx="2">
                  <c:v>34690.151999999987</c:v>
                </c:pt>
                <c:pt idx="3">
                  <c:v>38246.575500000014</c:v>
                </c:pt>
                <c:pt idx="4">
                  <c:v>31360.024500000007</c:v>
                </c:pt>
                <c:pt idx="5">
                  <c:v>31160.471999999991</c:v>
                </c:pt>
                <c:pt idx="6">
                  <c:v>36275.210999999981</c:v>
                </c:pt>
                <c:pt idx="7">
                  <c:v>30113.013000000003</c:v>
                </c:pt>
                <c:pt idx="8">
                  <c:v>43604.882999999987</c:v>
                </c:pt>
              </c:numCache>
            </c:numRef>
          </c:val>
          <c:extLst>
            <c:ext xmlns:c16="http://schemas.microsoft.com/office/drawing/2014/chart" uri="{C3380CC4-5D6E-409C-BE32-E72D297353CC}">
              <c16:uniqueId val="{00000000-29E5-4153-9964-0C8FC7AABF8B}"/>
            </c:ext>
          </c:extLst>
        </c:ser>
        <c:dLbls>
          <c:showLegendKey val="0"/>
          <c:showVal val="0"/>
          <c:showCatName val="0"/>
          <c:showSerName val="0"/>
          <c:showPercent val="0"/>
          <c:showBubbleSize val="0"/>
        </c:dLbls>
        <c:gapWidth val="100"/>
        <c:overlap val="-24"/>
        <c:axId val="1041438559"/>
        <c:axId val="1041439039"/>
      </c:barChart>
      <c:catAx>
        <c:axId val="10414385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1439039"/>
        <c:crosses val="autoZero"/>
        <c:auto val="1"/>
        <c:lblAlgn val="ctr"/>
        <c:lblOffset val="100"/>
        <c:noMultiLvlLbl val="0"/>
      </c:catAx>
      <c:valAx>
        <c:axId val="10414390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143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w="9525" cap="flat" cmpd="sng" algn="ctr">
      <a:noFill/>
      <a:round/>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[Joy Pyne Dashbord.xlsx]Sheet1!PivotTable6</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Sheet1!$W$9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1E6-41FD-A3AD-CA1B226FD6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1E6-41FD-A3AD-CA1B226FD64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1E6-41FD-A3AD-CA1B226FD6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Sheet1!$V$10:$V$16</c:f>
              <c:multiLvlStrCache>
                <c:ptCount val="3"/>
                <c:lvl>
                  <c:pt idx="0">
                    <c:v>Yangon</c:v>
                  </c:pt>
                  <c:pt idx="1">
                    <c:v>Mandalay</c:v>
                  </c:pt>
                  <c:pt idx="2">
                    <c:v>Naypyitaw</c:v>
                  </c:pt>
                </c:lvl>
                <c:lvl>
                  <c:pt idx="0">
                    <c:v>A</c:v>
                  </c:pt>
                  <c:pt idx="1">
                    <c:v>B</c:v>
                  </c:pt>
                  <c:pt idx="2">
                    <c:v>C</c:v>
                  </c:pt>
                </c:lvl>
              </c:multiLvlStrCache>
            </c:multiLvlStrRef>
          </c:cat>
          <c:val>
            <c:numRef>
              <c:f>Sheet1!$W$10:$W$16</c:f>
              <c:numCache>
                <c:formatCode>General</c:formatCode>
                <c:ptCount val="3"/>
                <c:pt idx="0">
                  <c:v>5057.1605000000018</c:v>
                </c:pt>
                <c:pt idx="1">
                  <c:v>5057.0320000000029</c:v>
                </c:pt>
                <c:pt idx="2">
                  <c:v>5265.1765000000023</c:v>
                </c:pt>
              </c:numCache>
            </c:numRef>
          </c:val>
          <c:extLst>
            <c:ext xmlns:c16="http://schemas.microsoft.com/office/drawing/2014/chart" uri="{C3380CC4-5D6E-409C-BE32-E72D297353CC}">
              <c16:uniqueId val="{00000006-D1E6-41FD-A3AD-CA1B226FD64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w="9525" cap="flat" cmpd="sng" algn="ctr">
      <a:noFill/>
      <a:round/>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144780</xdr:colOff>
      <xdr:row>25</xdr:row>
      <xdr:rowOff>148590</xdr:rowOff>
    </xdr:from>
    <xdr:to>
      <xdr:col>5</xdr:col>
      <xdr:colOff>434340</xdr:colOff>
      <xdr:row>40</xdr:row>
      <xdr:rowOff>160020</xdr:rowOff>
    </xdr:to>
    <xdr:graphicFrame macro="">
      <xdr:nvGraphicFramePr>
        <xdr:cNvPr id="2" name="Chart 1">
          <a:extLst>
            <a:ext uri="{FF2B5EF4-FFF2-40B4-BE49-F238E27FC236}">
              <a16:creationId xmlns:a16="http://schemas.microsoft.com/office/drawing/2014/main" id="{288717B0-D0D5-CD0F-2B6D-91B2D0829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128665</xdr:colOff>
      <xdr:row>1</xdr:row>
      <xdr:rowOff>12866</xdr:rowOff>
    </xdr:from>
    <xdr:to>
      <xdr:col>13</xdr:col>
      <xdr:colOff>326785</xdr:colOff>
      <xdr:row>14</xdr:row>
      <xdr:rowOff>10960</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75321625-3486-C5C0-C7E3-1653AA851E4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458731" y="200243"/>
              <a:ext cx="1834546" cy="2508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133911</xdr:colOff>
      <xdr:row>14</xdr:row>
      <xdr:rowOff>150090</xdr:rowOff>
    </xdr:from>
    <xdr:to>
      <xdr:col>15</xdr:col>
      <xdr:colOff>387870</xdr:colOff>
      <xdr:row>29</xdr:row>
      <xdr:rowOff>157710</xdr:rowOff>
    </xdr:to>
    <xdr:graphicFrame macro="">
      <xdr:nvGraphicFramePr>
        <xdr:cNvPr id="8" name="Chart 7">
          <a:extLst>
            <a:ext uri="{FF2B5EF4-FFF2-40B4-BE49-F238E27FC236}">
              <a16:creationId xmlns:a16="http://schemas.microsoft.com/office/drawing/2014/main" id="{E9746CEF-2201-FE6F-1530-8488558FA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167640</xdr:colOff>
      <xdr:row>1</xdr:row>
      <xdr:rowOff>144781</xdr:rowOff>
    </xdr:from>
    <xdr:to>
      <xdr:col>8</xdr:col>
      <xdr:colOff>655318</xdr:colOff>
      <xdr:row>10</xdr:row>
      <xdr:rowOff>83821</xdr:rowOff>
    </xdr:to>
    <mc:AlternateContent xmlns:mc="http://schemas.openxmlformats.org/markup-compatibility/2006" xmlns:a14="http://schemas.microsoft.com/office/drawing/2010/main">
      <mc:Choice Requires="a14">
        <xdr:graphicFrame macro="">
          <xdr:nvGraphicFramePr>
            <xdr:cNvPr id="9" name="Branch">
              <a:extLst>
                <a:ext uri="{FF2B5EF4-FFF2-40B4-BE49-F238E27FC236}">
                  <a16:creationId xmlns:a16="http://schemas.microsoft.com/office/drawing/2014/main" id="{1C1DE3A4-6315-C21F-D8F5-3D416BA5E6FF}"/>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179820" y="327661"/>
              <a:ext cx="1287781"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335280</xdr:colOff>
      <xdr:row>11</xdr:row>
      <xdr:rowOff>87630</xdr:rowOff>
    </xdr:from>
    <xdr:to>
      <xdr:col>8</xdr:col>
      <xdr:colOff>586740</xdr:colOff>
      <xdr:row>26</xdr:row>
      <xdr:rowOff>87630</xdr:rowOff>
    </xdr:to>
    <xdr:graphicFrame macro="">
      <xdr:nvGraphicFramePr>
        <xdr:cNvPr id="10" name="Chart 9">
          <a:extLst>
            <a:ext uri="{FF2B5EF4-FFF2-40B4-BE49-F238E27FC236}">
              <a16:creationId xmlns:a16="http://schemas.microsoft.com/office/drawing/2014/main" id="{5F773207-EF66-3204-C2C3-77D4EC987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33261</xdr:colOff>
      <xdr:row>17</xdr:row>
      <xdr:rowOff>75331</xdr:rowOff>
    </xdr:from>
    <xdr:to>
      <xdr:col>25</xdr:col>
      <xdr:colOff>25642</xdr:colOff>
      <xdr:row>32</xdr:row>
      <xdr:rowOff>3426</xdr:rowOff>
    </xdr:to>
    <xdr:graphicFrame macro="">
      <xdr:nvGraphicFramePr>
        <xdr:cNvPr id="3" name="Chart 2">
          <a:extLst>
            <a:ext uri="{FF2B5EF4-FFF2-40B4-BE49-F238E27FC236}">
              <a16:creationId xmlns:a16="http://schemas.microsoft.com/office/drawing/2014/main" id="{D402C760-A5D6-0904-06A8-0D37E2868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381000</xdr:colOff>
      <xdr:row>6</xdr:row>
      <xdr:rowOff>21798</xdr:rowOff>
    </xdr:from>
    <xdr:to>
      <xdr:col>35</xdr:col>
      <xdr:colOff>274320</xdr:colOff>
      <xdr:row>21</xdr:row>
      <xdr:rowOff>21798</xdr:rowOff>
    </xdr:to>
    <xdr:graphicFrame macro="">
      <xdr:nvGraphicFramePr>
        <xdr:cNvPr id="4" name="Chart 3">
          <a:extLst>
            <a:ext uri="{FF2B5EF4-FFF2-40B4-BE49-F238E27FC236}">
              <a16:creationId xmlns:a16="http://schemas.microsoft.com/office/drawing/2014/main" id="{FB0E9616-AA98-5DDB-5B62-EFBBB4E6A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370757</xdr:colOff>
      <xdr:row>40</xdr:row>
      <xdr:rowOff>180131</xdr:rowOff>
    </xdr:from>
    <xdr:to>
      <xdr:col>18</xdr:col>
      <xdr:colOff>362887</xdr:colOff>
      <xdr:row>54</xdr:row>
      <xdr:rowOff>86786</xdr:rowOff>
    </xdr:to>
    <mc:AlternateContent xmlns:mc="http://schemas.openxmlformats.org/markup-compatibility/2006" xmlns:a14="http://schemas.microsoft.com/office/drawing/2010/main">
      <mc:Choice Requires="a14">
        <xdr:graphicFrame macro="">
          <xdr:nvGraphicFramePr>
            <xdr:cNvPr id="6" name="Date">
              <a:extLst>
                <a:ext uri="{FF2B5EF4-FFF2-40B4-BE49-F238E27FC236}">
                  <a16:creationId xmlns:a16="http://schemas.microsoft.com/office/drawing/2014/main" id="{4F450651-383C-57D7-FC68-CCF528FC36B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4561446" y="7787639"/>
              <a:ext cx="1828425" cy="2529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15241</xdr:colOff>
      <xdr:row>2</xdr:row>
      <xdr:rowOff>0</xdr:rowOff>
    </xdr:from>
    <xdr:to>
      <xdr:col>7</xdr:col>
      <xdr:colOff>586740</xdr:colOff>
      <xdr:row>10</xdr:row>
      <xdr:rowOff>0</xdr:rowOff>
    </xdr:to>
    <mc:AlternateContent xmlns:mc="http://schemas.openxmlformats.org/markup-compatibility/2006" xmlns:a14="http://schemas.microsoft.com/office/drawing/2010/main">
      <mc:Choice Requires="a14">
        <xdr:graphicFrame macro="">
          <xdr:nvGraphicFramePr>
            <xdr:cNvPr id="2" name="Branch 2">
              <a:extLst>
                <a:ext uri="{FF2B5EF4-FFF2-40B4-BE49-F238E27FC236}">
                  <a16:creationId xmlns:a16="http://schemas.microsoft.com/office/drawing/2014/main" id="{1C163963-A3F4-430C-BE61-4C4504929A53}"/>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mlns="">
        <xdr:sp macro="" textlink="">
          <xdr:nvSpPr>
            <xdr:cNvPr id="0" name=""/>
            <xdr:cNvSpPr>
              <a:spLocks noTextEdit="1"/>
            </xdr:cNvSpPr>
          </xdr:nvSpPr>
          <xdr:spPr>
            <a:xfrm>
              <a:off x="5394961" y="365760"/>
              <a:ext cx="1181099"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2</xdr:row>
      <xdr:rowOff>7621</xdr:rowOff>
    </xdr:from>
    <xdr:to>
      <xdr:col>13</xdr:col>
      <xdr:colOff>182880</xdr:colOff>
      <xdr:row>12</xdr:row>
      <xdr:rowOff>30481</xdr:rowOff>
    </xdr:to>
    <mc:AlternateContent xmlns:mc="http://schemas.openxmlformats.org/markup-compatibility/2006" xmlns:a14="http://schemas.microsoft.com/office/drawing/2010/main">
      <mc:Choice Requires="a14">
        <xdr:graphicFrame macro="">
          <xdr:nvGraphicFramePr>
            <xdr:cNvPr id="3" name="City 2">
              <a:extLst>
                <a:ext uri="{FF2B5EF4-FFF2-40B4-BE49-F238E27FC236}">
                  <a16:creationId xmlns:a16="http://schemas.microsoft.com/office/drawing/2014/main" id="{FD274E11-C3D4-4DB5-928D-3C394A7CE774}"/>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9334500" y="373381"/>
              <a:ext cx="1379220" cy="1851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249478</xdr:colOff>
      <xdr:row>22</xdr:row>
      <xdr:rowOff>0</xdr:rowOff>
    </xdr:from>
    <xdr:to>
      <xdr:col>22</xdr:col>
      <xdr:colOff>546658</xdr:colOff>
      <xdr:row>36</xdr:row>
      <xdr:rowOff>60960</xdr:rowOff>
    </xdr:to>
    <xdr:graphicFrame macro="">
      <xdr:nvGraphicFramePr>
        <xdr:cNvPr id="11" name="Chart 10">
          <a:extLst>
            <a:ext uri="{FF2B5EF4-FFF2-40B4-BE49-F238E27FC236}">
              <a16:creationId xmlns:a16="http://schemas.microsoft.com/office/drawing/2014/main" id="{2AFD6F46-3392-4620-9FC2-2272DAC2C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298745</xdr:colOff>
      <xdr:row>5</xdr:row>
      <xdr:rowOff>156053</xdr:rowOff>
    </xdr:from>
    <xdr:to>
      <xdr:col>19</xdr:col>
      <xdr:colOff>480060</xdr:colOff>
      <xdr:row>12</xdr:row>
      <xdr:rowOff>129540</xdr:rowOff>
    </xdr:to>
    <mc:AlternateContent xmlns:mc="http://schemas.openxmlformats.org/markup-compatibility/2006" xmlns:a14="http://schemas.microsoft.com/office/drawing/2010/main">
      <mc:Choice Requires="a14">
        <xdr:graphicFrame macro="">
          <xdr:nvGraphicFramePr>
            <xdr:cNvPr id="13" name="Branch 1">
              <a:extLst>
                <a:ext uri="{FF2B5EF4-FFF2-40B4-BE49-F238E27FC236}">
                  <a16:creationId xmlns:a16="http://schemas.microsoft.com/office/drawing/2014/main" id="{F5A81A88-DCD6-4164-B5CE-7154B23073F5}"/>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0661945" y="1070453"/>
              <a:ext cx="1400515" cy="1253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419101</xdr:colOff>
      <xdr:row>5</xdr:row>
      <xdr:rowOff>104174</xdr:rowOff>
    </xdr:from>
    <xdr:to>
      <xdr:col>9</xdr:col>
      <xdr:colOff>107098</xdr:colOff>
      <xdr:row>20</xdr:row>
      <xdr:rowOff>166334</xdr:rowOff>
    </xdr:to>
    <xdr:graphicFrame macro="">
      <xdr:nvGraphicFramePr>
        <xdr:cNvPr id="15" name="Chart 14">
          <a:extLst>
            <a:ext uri="{FF2B5EF4-FFF2-40B4-BE49-F238E27FC236}">
              <a16:creationId xmlns:a16="http://schemas.microsoft.com/office/drawing/2014/main" id="{14238B69-E7C3-479C-A66B-334AA2CD6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331209</xdr:colOff>
      <xdr:row>13</xdr:row>
      <xdr:rowOff>171609</xdr:rowOff>
    </xdr:from>
    <xdr:to>
      <xdr:col>19</xdr:col>
      <xdr:colOff>487680</xdr:colOff>
      <xdr:row>20</xdr:row>
      <xdr:rowOff>99061</xdr:rowOff>
    </xdr:to>
    <mc:AlternateContent xmlns:mc="http://schemas.openxmlformats.org/markup-compatibility/2006" xmlns:a14="http://schemas.microsoft.com/office/drawing/2010/main">
      <mc:Choice Requires="a14">
        <xdr:graphicFrame macro="">
          <xdr:nvGraphicFramePr>
            <xdr:cNvPr id="17" name="City 1">
              <a:extLst>
                <a:ext uri="{FF2B5EF4-FFF2-40B4-BE49-F238E27FC236}">
                  <a16:creationId xmlns:a16="http://schemas.microsoft.com/office/drawing/2014/main" id="{B609FADD-D411-47E8-8833-7BADB4287BB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694409" y="2549049"/>
              <a:ext cx="1375671" cy="1207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270771</xdr:colOff>
      <xdr:row>5</xdr:row>
      <xdr:rowOff>121919</xdr:rowOff>
    </xdr:from>
    <xdr:to>
      <xdr:col>17</xdr:col>
      <xdr:colOff>183507</xdr:colOff>
      <xdr:row>21</xdr:row>
      <xdr:rowOff>22860</xdr:rowOff>
    </xdr:to>
    <xdr:graphicFrame macro="">
      <xdr:nvGraphicFramePr>
        <xdr:cNvPr id="19" name="Chart 18">
          <a:extLst>
            <a:ext uri="{FF2B5EF4-FFF2-40B4-BE49-F238E27FC236}">
              <a16:creationId xmlns:a16="http://schemas.microsoft.com/office/drawing/2014/main" id="{CB19E377-01C9-4295-98E0-CDFFDA7FC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50416</xdr:colOff>
      <xdr:row>22</xdr:row>
      <xdr:rowOff>15240</xdr:rowOff>
    </xdr:from>
    <xdr:to>
      <xdr:col>15</xdr:col>
      <xdr:colOff>579120</xdr:colOff>
      <xdr:row>36</xdr:row>
      <xdr:rowOff>34783</xdr:rowOff>
    </xdr:to>
    <xdr:graphicFrame macro="">
      <xdr:nvGraphicFramePr>
        <xdr:cNvPr id="24" name="Chart 23">
          <a:extLst>
            <a:ext uri="{FF2B5EF4-FFF2-40B4-BE49-F238E27FC236}">
              <a16:creationId xmlns:a16="http://schemas.microsoft.com/office/drawing/2014/main" id="{0CB563AC-245A-4050-9A3B-FAA61D72E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93945</xdr:colOff>
      <xdr:row>21</xdr:row>
      <xdr:rowOff>187889</xdr:rowOff>
    </xdr:from>
    <xdr:to>
      <xdr:col>7</xdr:col>
      <xdr:colOff>396657</xdr:colOff>
      <xdr:row>36</xdr:row>
      <xdr:rowOff>20120</xdr:rowOff>
    </xdr:to>
    <xdr:graphicFrame macro="">
      <xdr:nvGraphicFramePr>
        <xdr:cNvPr id="2" name="Chart 1">
          <a:extLst>
            <a:ext uri="{FF2B5EF4-FFF2-40B4-BE49-F238E27FC236}">
              <a16:creationId xmlns:a16="http://schemas.microsoft.com/office/drawing/2014/main" id="{7DAD0E89-E4A3-4FE8-93E1-EB39775FD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220980</xdr:colOff>
      <xdr:row>2</xdr:row>
      <xdr:rowOff>76200</xdr:rowOff>
    </xdr:from>
    <xdr:to>
      <xdr:col>6</xdr:col>
      <xdr:colOff>548640</xdr:colOff>
      <xdr:row>4</xdr:row>
      <xdr:rowOff>121920</xdr:rowOff>
    </xdr:to>
    <xdr:sp macro="" textlink="">
      <xdr:nvSpPr>
        <xdr:cNvPr id="3" name="TextBox 2">
          <a:extLst>
            <a:ext uri="{FF2B5EF4-FFF2-40B4-BE49-F238E27FC236}">
              <a16:creationId xmlns:a16="http://schemas.microsoft.com/office/drawing/2014/main" id="{600ADB43-6A6F-8855-88C5-7E254E682F75}"/>
            </a:ext>
          </a:extLst>
        </xdr:cNvPr>
        <xdr:cNvSpPr txBox="1"/>
      </xdr:nvSpPr>
      <xdr:spPr>
        <a:xfrm>
          <a:off x="830580" y="441960"/>
          <a:ext cx="33756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Arial Rounded MT Bold" panose="020F0704030504030204" pitchFamily="34" charset="0"/>
            </a:rPr>
            <a:t>SUPER MARKET SALES</a:t>
          </a:r>
        </a:p>
      </xdr:txBody>
    </xdr:sp>
    <xdr:clientData/>
  </xdr:twoCellAnchor>
  <xdr:oneCellAnchor>
    <xdr:from>
      <xdr:col>14</xdr:col>
      <xdr:colOff>381000</xdr:colOff>
      <xdr:row>2</xdr:row>
      <xdr:rowOff>91440</xdr:rowOff>
    </xdr:from>
    <xdr:ext cx="1068498" cy="342786"/>
    <xdr:sp macro="" textlink="Sheet1!N36">
      <xdr:nvSpPr>
        <xdr:cNvPr id="5" name="TextBox 4">
          <a:extLst>
            <a:ext uri="{FF2B5EF4-FFF2-40B4-BE49-F238E27FC236}">
              <a16:creationId xmlns:a16="http://schemas.microsoft.com/office/drawing/2014/main" id="{F98FEBFB-20EA-89E9-BE7F-D5D0238C190D}"/>
            </a:ext>
          </a:extLst>
        </xdr:cNvPr>
        <xdr:cNvSpPr txBox="1"/>
      </xdr:nvSpPr>
      <xdr:spPr>
        <a:xfrm>
          <a:off x="8915400" y="457200"/>
          <a:ext cx="106849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2CAC65A-F2B0-4F2A-998C-F65623110801}" type="TxLink">
            <a:rPr lang="en-US" sz="1600" b="1" i="0" u="none" strike="noStrike">
              <a:solidFill>
                <a:schemeClr val="bg1"/>
              </a:solidFill>
              <a:latin typeface="Calibri"/>
              <a:ea typeface="Calibri"/>
              <a:cs typeface="Calibri"/>
            </a:rPr>
            <a:pPr/>
            <a:t>15379.369</a:t>
          </a:fld>
          <a:endParaRPr lang="en-US" sz="1600" b="1">
            <a:solidFill>
              <a:schemeClr val="bg1"/>
            </a:solidFill>
          </a:endParaRPr>
        </a:p>
      </xdr:txBody>
    </xdr:sp>
    <xdr:clientData/>
  </xdr:oneCellAnchor>
  <xdr:twoCellAnchor editAs="oneCell">
    <xdr:from>
      <xdr:col>0</xdr:col>
      <xdr:colOff>60960</xdr:colOff>
      <xdr:row>4</xdr:row>
      <xdr:rowOff>167640</xdr:rowOff>
    </xdr:from>
    <xdr:to>
      <xdr:col>1</xdr:col>
      <xdr:colOff>365760</xdr:colOff>
      <xdr:row>9</xdr:row>
      <xdr:rowOff>167640</xdr:rowOff>
    </xdr:to>
    <xdr:pic>
      <xdr:nvPicPr>
        <xdr:cNvPr id="8" name="Graphic 7" descr="Bar chart with solid fill">
          <a:extLst>
            <a:ext uri="{FF2B5EF4-FFF2-40B4-BE49-F238E27FC236}">
              <a16:creationId xmlns:a16="http://schemas.microsoft.com/office/drawing/2014/main" id="{643ABAA8-06B4-386E-76D8-446B08DF500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960" y="899160"/>
          <a:ext cx="914400" cy="914400"/>
        </a:xfrm>
        <a:prstGeom prst="rect">
          <a:avLst/>
        </a:prstGeom>
      </xdr:spPr>
    </xdr:pic>
    <xdr:clientData/>
  </xdr:twoCellAnchor>
  <xdr:twoCellAnchor editAs="oneCell">
    <xdr:from>
      <xdr:col>0</xdr:col>
      <xdr:colOff>76200</xdr:colOff>
      <xdr:row>9</xdr:row>
      <xdr:rowOff>144780</xdr:rowOff>
    </xdr:from>
    <xdr:to>
      <xdr:col>1</xdr:col>
      <xdr:colOff>381000</xdr:colOff>
      <xdr:row>14</xdr:row>
      <xdr:rowOff>144780</xdr:rowOff>
    </xdr:to>
    <xdr:pic>
      <xdr:nvPicPr>
        <xdr:cNvPr id="21" name="Graphic 20" descr="Upward trend with solid fill">
          <a:extLst>
            <a:ext uri="{FF2B5EF4-FFF2-40B4-BE49-F238E27FC236}">
              <a16:creationId xmlns:a16="http://schemas.microsoft.com/office/drawing/2014/main" id="{55A6B2C8-0BC2-9ADE-7B6C-2D285B82AD3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200" y="1790700"/>
          <a:ext cx="914400" cy="914400"/>
        </a:xfrm>
        <a:prstGeom prst="rect">
          <a:avLst/>
        </a:prstGeom>
      </xdr:spPr>
    </xdr:pic>
    <xdr:clientData/>
  </xdr:twoCellAnchor>
  <xdr:twoCellAnchor editAs="oneCell">
    <xdr:from>
      <xdr:col>0</xdr:col>
      <xdr:colOff>53340</xdr:colOff>
      <xdr:row>15</xdr:row>
      <xdr:rowOff>106680</xdr:rowOff>
    </xdr:from>
    <xdr:to>
      <xdr:col>1</xdr:col>
      <xdr:colOff>358140</xdr:colOff>
      <xdr:row>20</xdr:row>
      <xdr:rowOff>106680</xdr:rowOff>
    </xdr:to>
    <xdr:pic>
      <xdr:nvPicPr>
        <xdr:cNvPr id="23" name="Graphic 22" descr="Pie chart with solid fill">
          <a:extLst>
            <a:ext uri="{FF2B5EF4-FFF2-40B4-BE49-F238E27FC236}">
              <a16:creationId xmlns:a16="http://schemas.microsoft.com/office/drawing/2014/main" id="{912879FD-A103-5158-7F81-ADD7B3CA7DA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3340" y="2849880"/>
          <a:ext cx="914400" cy="914400"/>
        </a:xfrm>
        <a:prstGeom prst="rect">
          <a:avLst/>
        </a:prstGeom>
      </xdr:spPr>
    </xdr:pic>
    <xdr:clientData/>
  </xdr:twoCellAnchor>
  <xdr:twoCellAnchor editAs="oneCell">
    <xdr:from>
      <xdr:col>9</xdr:col>
      <xdr:colOff>487680</xdr:colOff>
      <xdr:row>1</xdr:row>
      <xdr:rowOff>167640</xdr:rowOff>
    </xdr:from>
    <xdr:to>
      <xdr:col>10</xdr:col>
      <xdr:colOff>594360</xdr:colOff>
      <xdr:row>5</xdr:row>
      <xdr:rowOff>30480</xdr:rowOff>
    </xdr:to>
    <xdr:pic>
      <xdr:nvPicPr>
        <xdr:cNvPr id="26" name="Graphic 25" descr="Books with solid fill">
          <a:extLst>
            <a:ext uri="{FF2B5EF4-FFF2-40B4-BE49-F238E27FC236}">
              <a16:creationId xmlns:a16="http://schemas.microsoft.com/office/drawing/2014/main" id="{45ABFF2B-7A6F-2934-DE33-D497FD34332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74080" y="350520"/>
          <a:ext cx="716280" cy="594360"/>
        </a:xfrm>
        <a:prstGeom prst="rect">
          <a:avLst/>
        </a:prstGeom>
      </xdr:spPr>
    </xdr:pic>
    <xdr:clientData/>
  </xdr:twoCellAnchor>
  <xdr:twoCellAnchor editAs="oneCell">
    <xdr:from>
      <xdr:col>19</xdr:col>
      <xdr:colOff>586741</xdr:colOff>
      <xdr:row>5</xdr:row>
      <xdr:rowOff>152400</xdr:rowOff>
    </xdr:from>
    <xdr:to>
      <xdr:col>22</xdr:col>
      <xdr:colOff>487681</xdr:colOff>
      <xdr:row>20</xdr:row>
      <xdr:rowOff>106680</xdr:rowOff>
    </xdr:to>
    <mc:AlternateContent xmlns:mc="http://schemas.openxmlformats.org/markup-compatibility/2006" xmlns:a14="http://schemas.microsoft.com/office/drawing/2010/main">
      <mc:Choice Requires="a14">
        <xdr:graphicFrame macro="">
          <xdr:nvGraphicFramePr>
            <xdr:cNvPr id="6" name="Date 1">
              <a:extLst>
                <a:ext uri="{FF2B5EF4-FFF2-40B4-BE49-F238E27FC236}">
                  <a16:creationId xmlns:a16="http://schemas.microsoft.com/office/drawing/2014/main" id="{0F87C876-5F99-481E-8C41-99A4DC6627CF}"/>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2169141" y="1066800"/>
              <a:ext cx="1729740" cy="2697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 Pyne" refreshedDate="45757.570728009261" createdVersion="8" refreshedVersion="8" minRefreshableVersion="3" recordCount="1000" xr:uid="{374884A2-BD30-4145-85AD-6B0ADA980636}">
  <cacheSource type="worksheet">
    <worksheetSource ref="A1:Q1001" sheet="supermarket_sales"/>
  </cacheSource>
  <cacheFields count="19">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2">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1090792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7"/>
    <n v="26.141500000000001"/>
    <n v="548.97149999999999"/>
    <x v="0"/>
    <d v="1899-12-30T13:08:00"/>
    <x v="0"/>
    <n v="522.83000000000004"/>
    <n v="4.7619047620000003"/>
    <n v="26.141500000000001"/>
    <n v="9.1"/>
  </r>
  <r>
    <x v="1"/>
    <x v="1"/>
    <x v="1"/>
    <x v="1"/>
    <x v="0"/>
    <x v="1"/>
    <x v="1"/>
    <n v="5"/>
    <n v="3.82"/>
    <n v="80.22"/>
    <x v="1"/>
    <d v="1899-12-30T10:29:00"/>
    <x v="1"/>
    <n v="76.400000000000006"/>
    <n v="4.7619047620000003"/>
    <n v="3.82"/>
    <n v="9.6"/>
  </r>
  <r>
    <x v="2"/>
    <x v="0"/>
    <x v="0"/>
    <x v="1"/>
    <x v="1"/>
    <x v="2"/>
    <x v="2"/>
    <n v="7"/>
    <n v="16.215499999999999"/>
    <n v="340.52550000000002"/>
    <x v="2"/>
    <d v="1899-12-30T13:23:00"/>
    <x v="2"/>
    <n v="324.31"/>
    <n v="4.7619047620000003"/>
    <n v="16.215499999999999"/>
    <n v="7.4"/>
  </r>
  <r>
    <x v="3"/>
    <x v="0"/>
    <x v="0"/>
    <x v="0"/>
    <x v="1"/>
    <x v="0"/>
    <x v="3"/>
    <n v="8"/>
    <n v="23.288"/>
    <n v="489.048"/>
    <x v="3"/>
    <d v="1899-12-30T20:33:00"/>
    <x v="0"/>
    <n v="465.76"/>
    <n v="4.7619047620000003"/>
    <n v="23.288"/>
    <n v="8.4"/>
  </r>
  <r>
    <x v="4"/>
    <x v="0"/>
    <x v="0"/>
    <x v="1"/>
    <x v="1"/>
    <x v="3"/>
    <x v="4"/>
    <n v="7"/>
    <n v="30.208500000000001"/>
    <n v="634.37850000000003"/>
    <x v="4"/>
    <d v="1899-12-30T10:37:00"/>
    <x v="0"/>
    <n v="604.16999999999996"/>
    <n v="4.7619047620000003"/>
    <n v="30.208500000000001"/>
    <n v="5.3"/>
  </r>
  <r>
    <x v="5"/>
    <x v="1"/>
    <x v="1"/>
    <x v="1"/>
    <x v="1"/>
    <x v="1"/>
    <x v="5"/>
    <n v="7"/>
    <n v="29.886500000000002"/>
    <n v="627.61649999999997"/>
    <x v="5"/>
    <d v="1899-12-30T18:30:00"/>
    <x v="0"/>
    <n v="597.73"/>
    <n v="4.7619047620000003"/>
    <n v="29.886500000000002"/>
    <n v="4.0999999999999996"/>
  </r>
  <r>
    <x v="6"/>
    <x v="0"/>
    <x v="0"/>
    <x v="0"/>
    <x v="0"/>
    <x v="1"/>
    <x v="6"/>
    <n v="6"/>
    <n v="20.652000000000001"/>
    <n v="433.69200000000001"/>
    <x v="6"/>
    <d v="1899-12-30T14:36:00"/>
    <x v="0"/>
    <n v="413.04"/>
    <n v="4.7619047620000003"/>
    <n v="20.652000000000001"/>
    <n v="5.8"/>
  </r>
  <r>
    <x v="7"/>
    <x v="1"/>
    <x v="1"/>
    <x v="1"/>
    <x v="0"/>
    <x v="2"/>
    <x v="7"/>
    <n v="10"/>
    <n v="36.78"/>
    <n v="772.38"/>
    <x v="7"/>
    <d v="1899-12-30T11:38:00"/>
    <x v="0"/>
    <n v="735.6"/>
    <n v="4.7619047620000003"/>
    <n v="36.78"/>
    <n v="8"/>
  </r>
  <r>
    <x v="8"/>
    <x v="0"/>
    <x v="0"/>
    <x v="0"/>
    <x v="0"/>
    <x v="0"/>
    <x v="8"/>
    <n v="2"/>
    <n v="3.6259999999999999"/>
    <n v="76.146000000000001"/>
    <x v="8"/>
    <d v="1899-12-30T17:15:00"/>
    <x v="2"/>
    <n v="72.52"/>
    <n v="4.7619047620000003"/>
    <n v="3.6259999999999999"/>
    <n v="7.2"/>
  </r>
  <r>
    <x v="9"/>
    <x v="2"/>
    <x v="2"/>
    <x v="0"/>
    <x v="0"/>
    <x v="4"/>
    <x v="9"/>
    <n v="3"/>
    <n v="8.2260000000000009"/>
    <n v="172.74600000000001"/>
    <x v="9"/>
    <d v="1899-12-30T13:27:00"/>
    <x v="2"/>
    <n v="164.52"/>
    <n v="4.7619047620000003"/>
    <n v="8.2260000000000009"/>
    <n v="5.9"/>
  </r>
  <r>
    <x v="10"/>
    <x v="2"/>
    <x v="2"/>
    <x v="0"/>
    <x v="0"/>
    <x v="5"/>
    <x v="10"/>
    <n v="4"/>
    <n v="2.8959999999999999"/>
    <n v="60.816000000000003"/>
    <x v="10"/>
    <d v="1899-12-30T18:07:00"/>
    <x v="0"/>
    <n v="57.92"/>
    <n v="4.7619047620000003"/>
    <n v="2.8959999999999999"/>
    <n v="4.5"/>
  </r>
  <r>
    <x v="11"/>
    <x v="2"/>
    <x v="2"/>
    <x v="0"/>
    <x v="1"/>
    <x v="1"/>
    <x v="11"/>
    <n v="4"/>
    <n v="5.1020000000000003"/>
    <n v="107.142"/>
    <x v="11"/>
    <d v="1899-12-30T17:03:00"/>
    <x v="1"/>
    <n v="102.04"/>
    <n v="4.7619047620000003"/>
    <n v="5.1020000000000003"/>
    <n v="6.8"/>
  </r>
  <r>
    <x v="12"/>
    <x v="0"/>
    <x v="0"/>
    <x v="1"/>
    <x v="0"/>
    <x v="1"/>
    <x v="12"/>
    <n v="5"/>
    <n v="11.737500000000001"/>
    <n v="246.48750000000001"/>
    <x v="12"/>
    <d v="1899-12-30T10:25:00"/>
    <x v="0"/>
    <n v="234.75"/>
    <n v="4.7619047620000003"/>
    <n v="11.737500000000001"/>
    <n v="7.1"/>
  </r>
  <r>
    <x v="13"/>
    <x v="0"/>
    <x v="0"/>
    <x v="1"/>
    <x v="1"/>
    <x v="4"/>
    <x v="13"/>
    <n v="10"/>
    <n v="21.594999999999999"/>
    <n v="453.495"/>
    <x v="13"/>
    <d v="1899-12-30T16:48:00"/>
    <x v="0"/>
    <n v="431.9"/>
    <n v="4.7619047620000003"/>
    <n v="21.594999999999999"/>
    <n v="8.1999999999999993"/>
  </r>
  <r>
    <x v="14"/>
    <x v="0"/>
    <x v="0"/>
    <x v="1"/>
    <x v="0"/>
    <x v="0"/>
    <x v="14"/>
    <n v="10"/>
    <n v="35.69"/>
    <n v="749.49"/>
    <x v="14"/>
    <d v="1899-12-30T19:21:00"/>
    <x v="1"/>
    <n v="713.8"/>
    <n v="4.7619047620000003"/>
    <n v="35.69"/>
    <n v="5.7"/>
  </r>
  <r>
    <x v="15"/>
    <x v="2"/>
    <x v="2"/>
    <x v="0"/>
    <x v="0"/>
    <x v="3"/>
    <x v="15"/>
    <n v="6"/>
    <n v="28.116"/>
    <n v="590.43600000000004"/>
    <x v="15"/>
    <d v="1899-12-30T16:19:00"/>
    <x v="1"/>
    <n v="562.32000000000005"/>
    <n v="4.7619047620000003"/>
    <n v="28.116"/>
    <n v="4.5"/>
  </r>
  <r>
    <x v="16"/>
    <x v="0"/>
    <x v="0"/>
    <x v="0"/>
    <x v="0"/>
    <x v="0"/>
    <x v="16"/>
    <n v="7"/>
    <n v="24.125499999999999"/>
    <n v="506.63549999999998"/>
    <x v="16"/>
    <d v="1899-12-30T11:03:00"/>
    <x v="2"/>
    <n v="482.51"/>
    <n v="4.7619047620000003"/>
    <n v="24.125499999999999"/>
    <n v="4.5999999999999996"/>
  </r>
  <r>
    <x v="17"/>
    <x v="0"/>
    <x v="0"/>
    <x v="1"/>
    <x v="1"/>
    <x v="3"/>
    <x v="17"/>
    <n v="6"/>
    <n v="21.783000000000001"/>
    <n v="457.44299999999998"/>
    <x v="17"/>
    <d v="1899-12-30T10:39:00"/>
    <x v="2"/>
    <n v="435.66"/>
    <n v="4.7619047620000003"/>
    <n v="21.783000000000001"/>
    <n v="6.9"/>
  </r>
  <r>
    <x v="18"/>
    <x v="0"/>
    <x v="0"/>
    <x v="1"/>
    <x v="1"/>
    <x v="4"/>
    <x v="18"/>
    <n v="3"/>
    <n v="8.2004999999999999"/>
    <n v="172.2105"/>
    <x v="18"/>
    <d v="1899-12-30T18:00:00"/>
    <x v="2"/>
    <n v="164.01"/>
    <n v="4.7619047620000003"/>
    <n v="8.2004999999999999"/>
    <n v="8.6"/>
  </r>
  <r>
    <x v="19"/>
    <x v="2"/>
    <x v="2"/>
    <x v="1"/>
    <x v="0"/>
    <x v="2"/>
    <x v="19"/>
    <n v="2"/>
    <n v="4.03"/>
    <n v="84.63"/>
    <x v="16"/>
    <d v="1899-12-30T15:30:00"/>
    <x v="0"/>
    <n v="80.599999999999994"/>
    <n v="4.7619047620000003"/>
    <n v="4.03"/>
    <n v="4.4000000000000004"/>
  </r>
  <r>
    <x v="20"/>
    <x v="1"/>
    <x v="1"/>
    <x v="0"/>
    <x v="1"/>
    <x v="1"/>
    <x v="20"/>
    <n v="5"/>
    <n v="21.51"/>
    <n v="451.71"/>
    <x v="6"/>
    <d v="1899-12-30T11:24:00"/>
    <x v="0"/>
    <n v="430.2"/>
    <n v="4.7619047620000003"/>
    <n v="21.51"/>
    <n v="4.8"/>
  </r>
  <r>
    <x v="21"/>
    <x v="2"/>
    <x v="2"/>
    <x v="1"/>
    <x v="1"/>
    <x v="0"/>
    <x v="21"/>
    <n v="3"/>
    <n v="13.196999999999999"/>
    <n v="277.137"/>
    <x v="19"/>
    <d v="1899-12-30T10:40:00"/>
    <x v="0"/>
    <n v="263.94"/>
    <n v="4.7619047620000003"/>
    <n v="13.196999999999999"/>
    <n v="5.0999999999999996"/>
  </r>
  <r>
    <x v="22"/>
    <x v="2"/>
    <x v="2"/>
    <x v="1"/>
    <x v="1"/>
    <x v="2"/>
    <x v="22"/>
    <n v="2"/>
    <n v="3.32"/>
    <n v="69.72"/>
    <x v="20"/>
    <d v="1899-12-30T12:20:00"/>
    <x v="2"/>
    <n v="66.400000000000006"/>
    <n v="4.7619047620000003"/>
    <n v="3.32"/>
    <n v="4.4000000000000004"/>
  </r>
  <r>
    <x v="23"/>
    <x v="0"/>
    <x v="0"/>
    <x v="1"/>
    <x v="1"/>
    <x v="1"/>
    <x v="23"/>
    <n v="5"/>
    <n v="8.64"/>
    <n v="181.44"/>
    <x v="21"/>
    <d v="1899-12-30T11:15:00"/>
    <x v="0"/>
    <n v="172.8"/>
    <n v="4.7619047620000003"/>
    <n v="8.64"/>
    <n v="9.9"/>
  </r>
  <r>
    <x v="24"/>
    <x v="0"/>
    <x v="0"/>
    <x v="0"/>
    <x v="1"/>
    <x v="3"/>
    <x v="24"/>
    <n v="3"/>
    <n v="13.294499999999999"/>
    <n v="279.18450000000001"/>
    <x v="22"/>
    <d v="1899-12-30T17:36:00"/>
    <x v="0"/>
    <n v="265.89"/>
    <n v="4.7619047620000003"/>
    <n v="13.294499999999999"/>
    <n v="6"/>
  </r>
  <r>
    <x v="25"/>
    <x v="0"/>
    <x v="0"/>
    <x v="0"/>
    <x v="0"/>
    <x v="2"/>
    <x v="25"/>
    <n v="8"/>
    <n v="21.036000000000001"/>
    <n v="441.75599999999997"/>
    <x v="23"/>
    <d v="1899-12-30T19:20:00"/>
    <x v="2"/>
    <n v="420.72"/>
    <n v="4.7619047620000003"/>
    <n v="21.036000000000001"/>
    <n v="8.5"/>
  </r>
  <r>
    <x v="26"/>
    <x v="2"/>
    <x v="2"/>
    <x v="1"/>
    <x v="1"/>
    <x v="5"/>
    <x v="26"/>
    <n v="1"/>
    <n v="1.6759999999999999"/>
    <n v="35.195999999999998"/>
    <x v="4"/>
    <d v="1899-12-30T15:31:00"/>
    <x v="1"/>
    <n v="33.520000000000003"/>
    <n v="4.7619047620000003"/>
    <n v="1.6759999999999999"/>
    <n v="6.7"/>
  </r>
  <r>
    <x v="27"/>
    <x v="0"/>
    <x v="0"/>
    <x v="1"/>
    <x v="0"/>
    <x v="5"/>
    <x v="27"/>
    <n v="2"/>
    <n v="8.7669999999999995"/>
    <n v="184.107"/>
    <x v="24"/>
    <d v="1899-12-30T12:17:00"/>
    <x v="2"/>
    <n v="175.34"/>
    <n v="4.7619047620000003"/>
    <n v="8.7669999999999995"/>
    <n v="7.7"/>
  </r>
  <r>
    <x v="28"/>
    <x v="2"/>
    <x v="2"/>
    <x v="1"/>
    <x v="0"/>
    <x v="4"/>
    <x v="28"/>
    <n v="5"/>
    <n v="22.09"/>
    <n v="463.89"/>
    <x v="25"/>
    <d v="1899-12-30T19:48:00"/>
    <x v="1"/>
    <n v="441.8"/>
    <n v="4.7619047620000003"/>
    <n v="22.09"/>
    <n v="9.6"/>
  </r>
  <r>
    <x v="29"/>
    <x v="0"/>
    <x v="0"/>
    <x v="1"/>
    <x v="1"/>
    <x v="0"/>
    <x v="29"/>
    <n v="9"/>
    <n v="11.2005"/>
    <n v="235.2105"/>
    <x v="20"/>
    <d v="1899-12-30T15:36:00"/>
    <x v="1"/>
    <n v="224.01"/>
    <n v="4.7619047620000003"/>
    <n v="11.2005"/>
    <n v="7.4"/>
  </r>
  <r>
    <x v="30"/>
    <x v="2"/>
    <x v="2"/>
    <x v="1"/>
    <x v="1"/>
    <x v="5"/>
    <x v="30"/>
    <n v="5"/>
    <n v="23.532499999999999"/>
    <n v="494.1825"/>
    <x v="6"/>
    <d v="1899-12-30T19:39:00"/>
    <x v="2"/>
    <n v="470.65"/>
    <n v="4.7619047620000003"/>
    <n v="23.532499999999999"/>
    <n v="4.8"/>
  </r>
  <r>
    <x v="31"/>
    <x v="2"/>
    <x v="2"/>
    <x v="0"/>
    <x v="1"/>
    <x v="3"/>
    <x v="31"/>
    <n v="9"/>
    <n v="35.131500000000003"/>
    <n v="737.76149999999996"/>
    <x v="26"/>
    <d v="1899-12-30T12:43:00"/>
    <x v="1"/>
    <n v="702.63"/>
    <n v="4.7619047620000003"/>
    <n v="35.131500000000003"/>
    <n v="4.5"/>
  </r>
  <r>
    <x v="32"/>
    <x v="2"/>
    <x v="2"/>
    <x v="1"/>
    <x v="1"/>
    <x v="3"/>
    <x v="32"/>
    <n v="8"/>
    <n v="33.512"/>
    <n v="703.75199999999995"/>
    <x v="8"/>
    <d v="1899-12-30T14:49:00"/>
    <x v="1"/>
    <n v="670.24"/>
    <n v="4.7619047620000003"/>
    <n v="33.512"/>
    <n v="5.0999999999999996"/>
  </r>
  <r>
    <x v="33"/>
    <x v="0"/>
    <x v="0"/>
    <x v="1"/>
    <x v="1"/>
    <x v="0"/>
    <x v="33"/>
    <n v="2"/>
    <n v="9.6579999999999995"/>
    <n v="202.81800000000001"/>
    <x v="20"/>
    <d v="1899-12-30T10:12:00"/>
    <x v="2"/>
    <n v="193.16"/>
    <n v="4.7619047620000003"/>
    <n v="9.6579999999999995"/>
    <n v="5.0999999999999996"/>
  </r>
  <r>
    <x v="34"/>
    <x v="1"/>
    <x v="1"/>
    <x v="0"/>
    <x v="0"/>
    <x v="4"/>
    <x v="34"/>
    <n v="4"/>
    <n v="19.884"/>
    <n v="417.56400000000002"/>
    <x v="10"/>
    <d v="1899-12-30T10:42:00"/>
    <x v="0"/>
    <n v="397.68"/>
    <n v="4.7619047620000003"/>
    <n v="19.884"/>
    <n v="7.5"/>
  </r>
  <r>
    <x v="35"/>
    <x v="1"/>
    <x v="1"/>
    <x v="0"/>
    <x v="0"/>
    <x v="3"/>
    <x v="35"/>
    <n v="1"/>
    <n v="3.4060000000000001"/>
    <n v="71.525999999999996"/>
    <x v="27"/>
    <d v="1899-12-30T12:28:00"/>
    <x v="0"/>
    <n v="68.12"/>
    <n v="4.7619047620000003"/>
    <n v="3.4060000000000001"/>
    <n v="6.8"/>
  </r>
  <r>
    <x v="36"/>
    <x v="0"/>
    <x v="0"/>
    <x v="0"/>
    <x v="1"/>
    <x v="3"/>
    <x v="36"/>
    <n v="5"/>
    <n v="15.654999999999999"/>
    <n v="328.755"/>
    <x v="24"/>
    <d v="1899-12-30T19:15:00"/>
    <x v="0"/>
    <n v="313.10000000000002"/>
    <n v="4.7619047620000003"/>
    <n v="15.654999999999999"/>
    <n v="7"/>
  </r>
  <r>
    <x v="37"/>
    <x v="0"/>
    <x v="0"/>
    <x v="1"/>
    <x v="0"/>
    <x v="1"/>
    <x v="37"/>
    <n v="9"/>
    <n v="27.396000000000001"/>
    <n v="575.31600000000003"/>
    <x v="15"/>
    <d v="1899-12-30T17:17:00"/>
    <x v="0"/>
    <n v="547.91999999999996"/>
    <n v="4.7619047620000003"/>
    <n v="27.396000000000001"/>
    <n v="4.7"/>
  </r>
  <r>
    <x v="38"/>
    <x v="1"/>
    <x v="1"/>
    <x v="1"/>
    <x v="0"/>
    <x v="0"/>
    <x v="38"/>
    <n v="8"/>
    <n v="21.968"/>
    <n v="461.32799999999997"/>
    <x v="28"/>
    <d v="1899-12-30T13:24:00"/>
    <x v="0"/>
    <n v="439.36"/>
    <n v="4.7619047620000003"/>
    <n v="21.968"/>
    <n v="7.6"/>
  </r>
  <r>
    <x v="39"/>
    <x v="2"/>
    <x v="2"/>
    <x v="0"/>
    <x v="1"/>
    <x v="2"/>
    <x v="39"/>
    <n v="8"/>
    <n v="12.048"/>
    <n v="253.00800000000001"/>
    <x v="2"/>
    <d v="1899-12-30T13:01:00"/>
    <x v="1"/>
    <n v="240.96"/>
    <n v="4.7619047620000003"/>
    <n v="12.048"/>
    <n v="7.7"/>
  </r>
  <r>
    <x v="40"/>
    <x v="2"/>
    <x v="2"/>
    <x v="0"/>
    <x v="0"/>
    <x v="2"/>
    <x v="40"/>
    <n v="1"/>
    <n v="4.3360000000000003"/>
    <n v="91.055999999999997"/>
    <x v="29"/>
    <d v="1899-12-30T18:45:00"/>
    <x v="0"/>
    <n v="86.72"/>
    <n v="4.7619047620000003"/>
    <n v="4.3360000000000003"/>
    <n v="7.9"/>
  </r>
  <r>
    <x v="41"/>
    <x v="1"/>
    <x v="1"/>
    <x v="0"/>
    <x v="1"/>
    <x v="2"/>
    <x v="41"/>
    <n v="2"/>
    <n v="5.6109999999999998"/>
    <n v="117.831"/>
    <x v="30"/>
    <d v="1899-12-30T10:11:00"/>
    <x v="1"/>
    <n v="112.22"/>
    <n v="4.7619047620000003"/>
    <n v="5.6109999999999998"/>
    <n v="6.3"/>
  </r>
  <r>
    <x v="42"/>
    <x v="2"/>
    <x v="2"/>
    <x v="0"/>
    <x v="0"/>
    <x v="3"/>
    <x v="42"/>
    <n v="6"/>
    <n v="20.736000000000001"/>
    <n v="435.45600000000002"/>
    <x v="4"/>
    <d v="1899-12-30T13:03:00"/>
    <x v="1"/>
    <n v="414.72"/>
    <n v="4.7619047620000003"/>
    <n v="20.736000000000001"/>
    <n v="5.6"/>
  </r>
  <r>
    <x v="43"/>
    <x v="1"/>
    <x v="1"/>
    <x v="0"/>
    <x v="0"/>
    <x v="4"/>
    <x v="43"/>
    <n v="8"/>
    <n v="39.479999999999997"/>
    <n v="829.08"/>
    <x v="31"/>
    <d v="1899-12-30T20:39:00"/>
    <x v="1"/>
    <n v="789.6"/>
    <n v="4.7619047620000003"/>
    <n v="39.479999999999997"/>
    <n v="7.6"/>
  </r>
  <r>
    <x v="44"/>
    <x v="1"/>
    <x v="1"/>
    <x v="0"/>
    <x v="1"/>
    <x v="0"/>
    <x v="44"/>
    <n v="2"/>
    <n v="1.5369999999999999"/>
    <n v="32.277000000000001"/>
    <x v="32"/>
    <d v="1899-12-30T19:47:00"/>
    <x v="1"/>
    <n v="30.74"/>
    <n v="4.7619047620000003"/>
    <n v="1.5369999999999999"/>
    <n v="7.2"/>
  </r>
  <r>
    <x v="45"/>
    <x v="2"/>
    <x v="2"/>
    <x v="0"/>
    <x v="0"/>
    <x v="1"/>
    <x v="45"/>
    <n v="4"/>
    <n v="18.792000000000002"/>
    <n v="394.63200000000001"/>
    <x v="11"/>
    <d v="1899-12-30T18:00:00"/>
    <x v="1"/>
    <n v="375.84"/>
    <n v="4.7619047620000003"/>
    <n v="18.792000000000002"/>
    <n v="9.5"/>
  </r>
  <r>
    <x v="46"/>
    <x v="2"/>
    <x v="2"/>
    <x v="0"/>
    <x v="1"/>
    <x v="0"/>
    <x v="46"/>
    <n v="9"/>
    <n v="25.5105"/>
    <n v="535.72050000000002"/>
    <x v="33"/>
    <d v="1899-12-30T17:24:00"/>
    <x v="2"/>
    <n v="510.21"/>
    <n v="4.7619047620000003"/>
    <n v="25.5105"/>
    <n v="8.4"/>
  </r>
  <r>
    <x v="47"/>
    <x v="2"/>
    <x v="2"/>
    <x v="0"/>
    <x v="0"/>
    <x v="4"/>
    <x v="47"/>
    <n v="9"/>
    <n v="9.0045000000000002"/>
    <n v="189.09450000000001"/>
    <x v="10"/>
    <d v="1899-12-30T15:47:00"/>
    <x v="0"/>
    <n v="180.09"/>
    <n v="4.7619047620000003"/>
    <n v="9.0045000000000002"/>
    <n v="4.0999999999999996"/>
  </r>
  <r>
    <x v="48"/>
    <x v="2"/>
    <x v="2"/>
    <x v="0"/>
    <x v="1"/>
    <x v="1"/>
    <x v="48"/>
    <n v="6"/>
    <n v="5.6790000000000003"/>
    <n v="119.259"/>
    <x v="34"/>
    <d v="1899-12-30T12:45:00"/>
    <x v="2"/>
    <n v="113.58"/>
    <n v="4.7619047620000003"/>
    <n v="5.6790000000000003"/>
    <n v="8.1"/>
  </r>
  <r>
    <x v="49"/>
    <x v="1"/>
    <x v="1"/>
    <x v="0"/>
    <x v="0"/>
    <x v="5"/>
    <x v="49"/>
    <n v="10"/>
    <n v="41.314999999999998"/>
    <n v="867.61500000000001"/>
    <x v="35"/>
    <d v="1899-12-30T17:08:00"/>
    <x v="0"/>
    <n v="826.3"/>
    <n v="4.7619047620000003"/>
    <n v="41.314999999999998"/>
    <n v="7.9"/>
  </r>
  <r>
    <x v="50"/>
    <x v="1"/>
    <x v="1"/>
    <x v="0"/>
    <x v="1"/>
    <x v="4"/>
    <x v="50"/>
    <n v="7"/>
    <n v="31.99"/>
    <n v="671.79"/>
    <x v="36"/>
    <d v="1899-12-30T10:19:00"/>
    <x v="1"/>
    <n v="639.79999999999995"/>
    <n v="4.7619047620000003"/>
    <n v="31.99"/>
    <n v="9.5"/>
  </r>
  <r>
    <x v="51"/>
    <x v="0"/>
    <x v="0"/>
    <x v="0"/>
    <x v="0"/>
    <x v="4"/>
    <x v="51"/>
    <n v="5"/>
    <n v="11.147500000000001"/>
    <n v="234.0975"/>
    <x v="34"/>
    <d v="1899-12-30T15:10:00"/>
    <x v="1"/>
    <n v="222.95"/>
    <n v="4.7619047620000003"/>
    <n v="11.147500000000001"/>
    <n v="8.5"/>
  </r>
  <r>
    <x v="52"/>
    <x v="2"/>
    <x v="2"/>
    <x v="0"/>
    <x v="0"/>
    <x v="5"/>
    <x v="52"/>
    <n v="4"/>
    <n v="3.5739999999999998"/>
    <n v="75.054000000000002"/>
    <x v="23"/>
    <d v="1899-12-30T14:42:00"/>
    <x v="0"/>
    <n v="71.48"/>
    <n v="4.7619047620000003"/>
    <n v="3.5739999999999998"/>
    <n v="6.5"/>
  </r>
  <r>
    <x v="53"/>
    <x v="1"/>
    <x v="1"/>
    <x v="0"/>
    <x v="1"/>
    <x v="5"/>
    <x v="53"/>
    <n v="1"/>
    <n v="0.77149999999999996"/>
    <n v="16.201499999999999"/>
    <x v="25"/>
    <d v="1899-12-30T15:46:00"/>
    <x v="2"/>
    <n v="15.43"/>
    <n v="4.7619047620000003"/>
    <n v="0.77149999999999996"/>
    <n v="6.1"/>
  </r>
  <r>
    <x v="54"/>
    <x v="2"/>
    <x v="2"/>
    <x v="1"/>
    <x v="1"/>
    <x v="2"/>
    <x v="54"/>
    <n v="2"/>
    <n v="1.6160000000000001"/>
    <n v="33.936"/>
    <x v="37"/>
    <d v="1899-12-30T11:49:00"/>
    <x v="0"/>
    <n v="32.32"/>
    <n v="4.7619047620000003"/>
    <n v="1.6160000000000001"/>
    <n v="6.5"/>
  </r>
  <r>
    <x v="55"/>
    <x v="1"/>
    <x v="1"/>
    <x v="1"/>
    <x v="0"/>
    <x v="1"/>
    <x v="55"/>
    <n v="8"/>
    <n v="34.392000000000003"/>
    <n v="722.23199999999997"/>
    <x v="38"/>
    <d v="1899-12-30T19:01:00"/>
    <x v="1"/>
    <n v="687.84"/>
    <n v="4.7619047620000003"/>
    <n v="34.392000000000003"/>
    <n v="8.1999999999999993"/>
  </r>
  <r>
    <x v="56"/>
    <x v="0"/>
    <x v="0"/>
    <x v="0"/>
    <x v="1"/>
    <x v="2"/>
    <x v="56"/>
    <n v="2"/>
    <n v="4.4340000000000002"/>
    <n v="93.114000000000004"/>
    <x v="39"/>
    <d v="1899-12-30T11:26:00"/>
    <x v="1"/>
    <n v="88.68"/>
    <n v="4.7619047620000003"/>
    <n v="4.4340000000000002"/>
    <n v="5.8"/>
  </r>
  <r>
    <x v="57"/>
    <x v="0"/>
    <x v="0"/>
    <x v="1"/>
    <x v="1"/>
    <x v="0"/>
    <x v="57"/>
    <n v="8"/>
    <n v="35.840000000000003"/>
    <n v="752.64"/>
    <x v="13"/>
    <d v="1899-12-30T11:28:00"/>
    <x v="0"/>
    <n v="716.8"/>
    <n v="4.7619047620000003"/>
    <n v="35.840000000000003"/>
    <n v="6.6"/>
  </r>
  <r>
    <x v="58"/>
    <x v="0"/>
    <x v="0"/>
    <x v="0"/>
    <x v="0"/>
    <x v="2"/>
    <x v="58"/>
    <n v="10"/>
    <n v="36.174999999999997"/>
    <n v="759.67499999999995"/>
    <x v="40"/>
    <d v="1899-12-30T15:55:00"/>
    <x v="1"/>
    <n v="723.5"/>
    <n v="4.7619047620000003"/>
    <n v="36.174999999999997"/>
    <n v="5.4"/>
  </r>
  <r>
    <x v="59"/>
    <x v="1"/>
    <x v="1"/>
    <x v="1"/>
    <x v="1"/>
    <x v="1"/>
    <x v="59"/>
    <n v="6"/>
    <n v="9.1829999999999998"/>
    <n v="192.84299999999999"/>
    <x v="41"/>
    <d v="1899-12-30T20:36:00"/>
    <x v="1"/>
    <n v="183.66"/>
    <n v="4.7619047620000003"/>
    <n v="9.1829999999999998"/>
    <n v="9.3000000000000007"/>
  </r>
  <r>
    <x v="60"/>
    <x v="1"/>
    <x v="1"/>
    <x v="0"/>
    <x v="0"/>
    <x v="3"/>
    <x v="60"/>
    <n v="3"/>
    <n v="3.7109999999999999"/>
    <n v="77.930999999999997"/>
    <x v="42"/>
    <d v="1899-12-30T17:47:00"/>
    <x v="2"/>
    <n v="74.22"/>
    <n v="4.7619047620000003"/>
    <n v="3.7109999999999999"/>
    <n v="10"/>
  </r>
  <r>
    <x v="61"/>
    <x v="1"/>
    <x v="1"/>
    <x v="1"/>
    <x v="1"/>
    <x v="2"/>
    <x v="61"/>
    <n v="6"/>
    <n v="16.719000000000001"/>
    <n v="351.09899999999999"/>
    <x v="7"/>
    <d v="1899-12-30T10:55:00"/>
    <x v="0"/>
    <n v="334.38"/>
    <n v="4.7619047620000003"/>
    <n v="16.719000000000001"/>
    <n v="7"/>
  </r>
  <r>
    <x v="62"/>
    <x v="2"/>
    <x v="2"/>
    <x v="0"/>
    <x v="0"/>
    <x v="3"/>
    <x v="62"/>
    <n v="9"/>
    <n v="24.781500000000001"/>
    <n v="520.41150000000005"/>
    <x v="36"/>
    <d v="1899-12-30T13:40:00"/>
    <x v="0"/>
    <n v="495.63"/>
    <n v="4.7619047620000003"/>
    <n v="24.781500000000001"/>
    <n v="10"/>
  </r>
  <r>
    <x v="63"/>
    <x v="0"/>
    <x v="0"/>
    <x v="0"/>
    <x v="1"/>
    <x v="3"/>
    <x v="63"/>
    <n v="10"/>
    <n v="7.9050000000000002"/>
    <n v="166.005"/>
    <x v="43"/>
    <d v="1899-12-30T12:27:00"/>
    <x v="2"/>
    <n v="158.1"/>
    <n v="4.7619047620000003"/>
    <n v="7.9050000000000002"/>
    <n v="8.6"/>
  </r>
  <r>
    <x v="64"/>
    <x v="2"/>
    <x v="2"/>
    <x v="0"/>
    <x v="1"/>
    <x v="0"/>
    <x v="64"/>
    <n v="4"/>
    <n v="15.148"/>
    <n v="318.108"/>
    <x v="44"/>
    <d v="1899-12-30T14:35:00"/>
    <x v="1"/>
    <n v="302.95999999999998"/>
    <n v="4.7619047620000003"/>
    <n v="15.148"/>
    <n v="7.6"/>
  </r>
  <r>
    <x v="65"/>
    <x v="0"/>
    <x v="0"/>
    <x v="0"/>
    <x v="1"/>
    <x v="0"/>
    <x v="65"/>
    <n v="10"/>
    <n v="7.9349999999999996"/>
    <n v="166.63499999999999"/>
    <x v="45"/>
    <d v="1899-12-30T16:40:00"/>
    <x v="1"/>
    <n v="158.69999999999999"/>
    <n v="4.7619047620000003"/>
    <n v="7.9349999999999996"/>
    <n v="5.8"/>
  </r>
  <r>
    <x v="66"/>
    <x v="1"/>
    <x v="1"/>
    <x v="1"/>
    <x v="0"/>
    <x v="0"/>
    <x v="66"/>
    <n v="2"/>
    <n v="3.347"/>
    <n v="70.287000000000006"/>
    <x v="34"/>
    <d v="1899-12-30T15:43:00"/>
    <x v="0"/>
    <n v="66.94"/>
    <n v="4.7619047620000003"/>
    <n v="3.347"/>
    <n v="6.7"/>
  </r>
  <r>
    <x v="67"/>
    <x v="2"/>
    <x v="2"/>
    <x v="0"/>
    <x v="0"/>
    <x v="5"/>
    <x v="67"/>
    <n v="6"/>
    <n v="29.283000000000001"/>
    <n v="614.94299999999998"/>
    <x v="27"/>
    <d v="1899-12-30T15:01:00"/>
    <x v="0"/>
    <n v="585.66"/>
    <n v="4.7619047620000003"/>
    <n v="29.283000000000001"/>
    <n v="9.9"/>
  </r>
  <r>
    <x v="68"/>
    <x v="0"/>
    <x v="0"/>
    <x v="1"/>
    <x v="1"/>
    <x v="3"/>
    <x v="68"/>
    <n v="10"/>
    <n v="39.384999999999998"/>
    <n v="827.08500000000004"/>
    <x v="46"/>
    <d v="1899-12-30T10:04:00"/>
    <x v="1"/>
    <n v="787.7"/>
    <n v="4.7619047620000003"/>
    <n v="39.384999999999998"/>
    <n v="6.4"/>
  </r>
  <r>
    <x v="69"/>
    <x v="0"/>
    <x v="0"/>
    <x v="0"/>
    <x v="0"/>
    <x v="0"/>
    <x v="69"/>
    <n v="1"/>
    <n v="0.91649999999999998"/>
    <n v="19.246500000000001"/>
    <x v="30"/>
    <d v="1899-12-30T18:50:00"/>
    <x v="1"/>
    <n v="18.329999999999998"/>
    <n v="4.7619047620000003"/>
    <n v="0.91649999999999998"/>
    <n v="4.3"/>
  </r>
  <r>
    <x v="70"/>
    <x v="1"/>
    <x v="1"/>
    <x v="1"/>
    <x v="1"/>
    <x v="4"/>
    <x v="70"/>
    <n v="10"/>
    <n v="44.74"/>
    <n v="939.54"/>
    <x v="47"/>
    <d v="1899-12-30T12:46:00"/>
    <x v="2"/>
    <n v="894.8"/>
    <n v="4.7619047620000003"/>
    <n v="44.74"/>
    <n v="9.6"/>
  </r>
  <r>
    <x v="71"/>
    <x v="1"/>
    <x v="1"/>
    <x v="1"/>
    <x v="1"/>
    <x v="5"/>
    <x v="71"/>
    <n v="10"/>
    <n v="31.06"/>
    <n v="652.26"/>
    <x v="48"/>
    <d v="1899-12-30T16:19:00"/>
    <x v="1"/>
    <n v="621.20000000000005"/>
    <n v="4.7619047620000003"/>
    <n v="31.06"/>
    <n v="5.9"/>
  </r>
  <r>
    <x v="72"/>
    <x v="2"/>
    <x v="2"/>
    <x v="0"/>
    <x v="0"/>
    <x v="4"/>
    <x v="72"/>
    <n v="3"/>
    <n v="7.2779999999999996"/>
    <n v="152.83799999999999"/>
    <x v="19"/>
    <d v="1899-12-30T18:17:00"/>
    <x v="0"/>
    <n v="145.56"/>
    <n v="4.7619047620000003"/>
    <n v="7.2779999999999996"/>
    <n v="4"/>
  </r>
  <r>
    <x v="73"/>
    <x v="1"/>
    <x v="1"/>
    <x v="1"/>
    <x v="0"/>
    <x v="1"/>
    <x v="73"/>
    <n v="6"/>
    <n v="22.773"/>
    <n v="478.233"/>
    <x v="11"/>
    <d v="1899-12-30T18:21:00"/>
    <x v="1"/>
    <n v="455.46"/>
    <n v="4.7619047620000003"/>
    <n v="22.773"/>
    <n v="8.6999999999999993"/>
  </r>
  <r>
    <x v="74"/>
    <x v="0"/>
    <x v="0"/>
    <x v="1"/>
    <x v="1"/>
    <x v="2"/>
    <x v="74"/>
    <n v="9"/>
    <n v="33.601500000000001"/>
    <n v="705.63149999999996"/>
    <x v="49"/>
    <d v="1899-12-30T10:55:00"/>
    <x v="0"/>
    <n v="672.03"/>
    <n v="4.7619047620000003"/>
    <n v="33.601500000000001"/>
    <n v="9.4"/>
  </r>
  <r>
    <x v="75"/>
    <x v="1"/>
    <x v="1"/>
    <x v="1"/>
    <x v="0"/>
    <x v="1"/>
    <x v="75"/>
    <n v="10"/>
    <n v="20.824999999999999"/>
    <n v="437.32499999999999"/>
    <x v="50"/>
    <d v="1899-12-30T17:04:00"/>
    <x v="2"/>
    <n v="416.5"/>
    <n v="4.7619047620000003"/>
    <n v="20.824999999999999"/>
    <n v="5.4"/>
  </r>
  <r>
    <x v="76"/>
    <x v="1"/>
    <x v="1"/>
    <x v="0"/>
    <x v="1"/>
    <x v="5"/>
    <x v="76"/>
    <n v="9"/>
    <n v="22.068000000000001"/>
    <n v="463.428"/>
    <x v="51"/>
    <d v="1899-12-30T14:20:00"/>
    <x v="2"/>
    <n v="441.36"/>
    <n v="4.7619047620000003"/>
    <n v="22.068000000000001"/>
    <n v="8.6"/>
  </r>
  <r>
    <x v="77"/>
    <x v="0"/>
    <x v="0"/>
    <x v="0"/>
    <x v="0"/>
    <x v="5"/>
    <x v="47"/>
    <n v="9"/>
    <n v="9.0045000000000002"/>
    <n v="189.09450000000001"/>
    <x v="52"/>
    <d v="1899-12-30T15:48:00"/>
    <x v="2"/>
    <n v="180.09"/>
    <n v="4.7619047620000003"/>
    <n v="9.0045000000000002"/>
    <n v="5.7"/>
  </r>
  <r>
    <x v="78"/>
    <x v="1"/>
    <x v="1"/>
    <x v="0"/>
    <x v="0"/>
    <x v="4"/>
    <x v="77"/>
    <n v="10"/>
    <n v="39.155000000000001"/>
    <n v="822.255"/>
    <x v="19"/>
    <d v="1899-12-30T16:24:00"/>
    <x v="0"/>
    <n v="783.1"/>
    <n v="4.7619047620000003"/>
    <n v="39.155000000000001"/>
    <n v="6.6"/>
  </r>
  <r>
    <x v="79"/>
    <x v="1"/>
    <x v="1"/>
    <x v="1"/>
    <x v="0"/>
    <x v="0"/>
    <x v="78"/>
    <n v="5"/>
    <n v="5.0949999999999998"/>
    <n v="106.995"/>
    <x v="49"/>
    <d v="1899-12-30T18:56:00"/>
    <x v="1"/>
    <n v="101.9"/>
    <n v="4.7619047620000003"/>
    <n v="5.0949999999999998"/>
    <n v="6"/>
  </r>
  <r>
    <x v="80"/>
    <x v="1"/>
    <x v="1"/>
    <x v="1"/>
    <x v="0"/>
    <x v="0"/>
    <x v="79"/>
    <n v="6"/>
    <n v="29.757000000000001"/>
    <n v="624.89700000000005"/>
    <x v="18"/>
    <d v="1899-12-30T14:42:00"/>
    <x v="2"/>
    <n v="595.14"/>
    <n v="4.7619047620000003"/>
    <n v="29.757000000000001"/>
    <n v="5.5"/>
  </r>
  <r>
    <x v="81"/>
    <x v="2"/>
    <x v="2"/>
    <x v="1"/>
    <x v="0"/>
    <x v="4"/>
    <x v="80"/>
    <n v="3"/>
    <n v="14.502000000000001"/>
    <n v="304.54199999999997"/>
    <x v="53"/>
    <d v="1899-12-30T19:56:00"/>
    <x v="0"/>
    <n v="290.04000000000002"/>
    <n v="4.7619047620000003"/>
    <n v="14.502000000000001"/>
    <n v="6.4"/>
  </r>
  <r>
    <x v="82"/>
    <x v="1"/>
    <x v="1"/>
    <x v="1"/>
    <x v="1"/>
    <x v="4"/>
    <x v="81"/>
    <n v="8"/>
    <n v="7.7"/>
    <n v="161.69999999999999"/>
    <x v="54"/>
    <d v="1899-12-30T18:37:00"/>
    <x v="0"/>
    <n v="154"/>
    <n v="4.7619047620000003"/>
    <n v="7.7"/>
    <n v="6.6"/>
  </r>
  <r>
    <x v="83"/>
    <x v="1"/>
    <x v="1"/>
    <x v="0"/>
    <x v="0"/>
    <x v="4"/>
    <x v="82"/>
    <n v="4"/>
    <n v="16.071999999999999"/>
    <n v="337.512"/>
    <x v="55"/>
    <d v="1899-12-30T18:45:00"/>
    <x v="2"/>
    <n v="321.44"/>
    <n v="4.7619047620000003"/>
    <n v="16.071999999999999"/>
    <n v="8.3000000000000007"/>
  </r>
  <r>
    <x v="84"/>
    <x v="1"/>
    <x v="1"/>
    <x v="0"/>
    <x v="1"/>
    <x v="3"/>
    <x v="83"/>
    <n v="5"/>
    <n v="12.227499999999999"/>
    <n v="256.77749999999997"/>
    <x v="11"/>
    <d v="1899-12-30T10:17:00"/>
    <x v="1"/>
    <n v="244.55"/>
    <n v="4.7619047620000003"/>
    <n v="12.227499999999999"/>
    <n v="6.6"/>
  </r>
  <r>
    <x v="85"/>
    <x v="1"/>
    <x v="1"/>
    <x v="1"/>
    <x v="0"/>
    <x v="3"/>
    <x v="84"/>
    <n v="7"/>
    <n v="29.071000000000002"/>
    <n v="610.49099999999999"/>
    <x v="19"/>
    <d v="1899-12-30T14:31:00"/>
    <x v="0"/>
    <n v="581.41999999999996"/>
    <n v="4.7619047620000003"/>
    <n v="29.071000000000002"/>
    <n v="4"/>
  </r>
  <r>
    <x v="86"/>
    <x v="1"/>
    <x v="1"/>
    <x v="1"/>
    <x v="1"/>
    <x v="5"/>
    <x v="85"/>
    <n v="5"/>
    <n v="19.13"/>
    <n v="401.73"/>
    <x v="5"/>
    <d v="1899-12-30T10:23:00"/>
    <x v="1"/>
    <n v="382.6"/>
    <n v="4.7619047620000003"/>
    <n v="19.13"/>
    <n v="9.9"/>
  </r>
  <r>
    <x v="87"/>
    <x v="0"/>
    <x v="0"/>
    <x v="0"/>
    <x v="1"/>
    <x v="4"/>
    <x v="86"/>
    <n v="7"/>
    <n v="17.283000000000001"/>
    <n v="362.94299999999998"/>
    <x v="39"/>
    <d v="1899-12-30T20:35:00"/>
    <x v="2"/>
    <n v="345.66"/>
    <n v="4.7619047620000003"/>
    <n v="17.283000000000001"/>
    <n v="7.3"/>
  </r>
  <r>
    <x v="88"/>
    <x v="0"/>
    <x v="0"/>
    <x v="1"/>
    <x v="1"/>
    <x v="3"/>
    <x v="87"/>
    <n v="1"/>
    <n v="2.1234999999999999"/>
    <n v="44.593499999999999"/>
    <x v="56"/>
    <d v="1899-12-30T16:57:00"/>
    <x v="1"/>
    <n v="42.47"/>
    <n v="4.7619047620000003"/>
    <n v="2.1234999999999999"/>
    <n v="5.7"/>
  </r>
  <r>
    <x v="89"/>
    <x v="2"/>
    <x v="2"/>
    <x v="1"/>
    <x v="0"/>
    <x v="0"/>
    <x v="88"/>
    <n v="6"/>
    <n v="23.097000000000001"/>
    <n v="485.03699999999998"/>
    <x v="33"/>
    <d v="1899-12-30T17:55:00"/>
    <x v="1"/>
    <n v="461.94"/>
    <n v="4.7619047620000003"/>
    <n v="23.097000000000001"/>
    <n v="6.1"/>
  </r>
  <r>
    <x v="90"/>
    <x v="1"/>
    <x v="1"/>
    <x v="0"/>
    <x v="0"/>
    <x v="2"/>
    <x v="89"/>
    <n v="4"/>
    <n v="9.4760000000000009"/>
    <n v="198.99600000000001"/>
    <x v="54"/>
    <d v="1899-12-30T10:25:00"/>
    <x v="1"/>
    <n v="189.52"/>
    <n v="4.7619047620000003"/>
    <n v="9.4760000000000009"/>
    <n v="7.1"/>
  </r>
  <r>
    <x v="91"/>
    <x v="1"/>
    <x v="1"/>
    <x v="1"/>
    <x v="0"/>
    <x v="3"/>
    <x v="90"/>
    <n v="10"/>
    <n v="22.43"/>
    <n v="471.03"/>
    <x v="53"/>
    <d v="1899-12-30T19:54:00"/>
    <x v="0"/>
    <n v="448.6"/>
    <n v="4.7619047620000003"/>
    <n v="22.43"/>
    <n v="8.1999999999999993"/>
  </r>
  <r>
    <x v="92"/>
    <x v="0"/>
    <x v="0"/>
    <x v="0"/>
    <x v="0"/>
    <x v="3"/>
    <x v="91"/>
    <n v="7"/>
    <n v="7.6929999999999996"/>
    <n v="161.553"/>
    <x v="8"/>
    <d v="1899-12-30T16:42:00"/>
    <x v="0"/>
    <n v="153.86000000000001"/>
    <n v="4.7619047620000003"/>
    <n v="7.6929999999999996"/>
    <n v="5.0999999999999996"/>
  </r>
  <r>
    <x v="93"/>
    <x v="2"/>
    <x v="2"/>
    <x v="0"/>
    <x v="1"/>
    <x v="0"/>
    <x v="92"/>
    <n v="9"/>
    <n v="28.962"/>
    <n v="608.202"/>
    <x v="41"/>
    <d v="1899-12-30T12:09:00"/>
    <x v="2"/>
    <n v="579.24"/>
    <n v="4.7619047620000003"/>
    <n v="28.962"/>
    <n v="8.6"/>
  </r>
  <r>
    <x v="94"/>
    <x v="1"/>
    <x v="1"/>
    <x v="1"/>
    <x v="1"/>
    <x v="0"/>
    <x v="93"/>
    <n v="1"/>
    <n v="4.4874999999999998"/>
    <n v="94.237499999999997"/>
    <x v="10"/>
    <d v="1899-12-30T20:05:00"/>
    <x v="2"/>
    <n v="89.75"/>
    <n v="4.7619047620000003"/>
    <n v="4.4874999999999998"/>
    <n v="6.6"/>
  </r>
  <r>
    <x v="95"/>
    <x v="0"/>
    <x v="0"/>
    <x v="1"/>
    <x v="1"/>
    <x v="1"/>
    <x v="94"/>
    <n v="1"/>
    <n v="4.8579999999999997"/>
    <n v="102.018"/>
    <x v="1"/>
    <d v="1899-12-30T20:38:00"/>
    <x v="0"/>
    <n v="97.16"/>
    <n v="4.7619047620000003"/>
    <n v="4.8579999999999997"/>
    <n v="7.2"/>
  </r>
  <r>
    <x v="96"/>
    <x v="2"/>
    <x v="2"/>
    <x v="1"/>
    <x v="1"/>
    <x v="0"/>
    <x v="95"/>
    <n v="10"/>
    <n v="43.935000000000002"/>
    <n v="922.63499999999999"/>
    <x v="14"/>
    <d v="1899-12-30T10:25:00"/>
    <x v="0"/>
    <n v="878.7"/>
    <n v="4.7619047620000003"/>
    <n v="43.935000000000002"/>
    <n v="5.0999999999999996"/>
  </r>
  <r>
    <x v="97"/>
    <x v="1"/>
    <x v="1"/>
    <x v="1"/>
    <x v="0"/>
    <x v="1"/>
    <x v="96"/>
    <n v="6"/>
    <n v="3.7349999999999999"/>
    <n v="78.435000000000002"/>
    <x v="57"/>
    <d v="1899-12-30T13:11:00"/>
    <x v="1"/>
    <n v="74.7"/>
    <n v="4.7619047620000003"/>
    <n v="3.7349999999999999"/>
    <n v="4.0999999999999996"/>
  </r>
  <r>
    <x v="98"/>
    <x v="0"/>
    <x v="0"/>
    <x v="1"/>
    <x v="1"/>
    <x v="4"/>
    <x v="97"/>
    <n v="3"/>
    <n v="7.9124999999999996"/>
    <n v="166.16249999999999"/>
    <x v="28"/>
    <d v="1899-12-30T10:16:00"/>
    <x v="0"/>
    <n v="158.25"/>
    <n v="4.7619047620000003"/>
    <n v="7.9124999999999996"/>
    <n v="9.3000000000000007"/>
  </r>
  <r>
    <x v="99"/>
    <x v="2"/>
    <x v="2"/>
    <x v="1"/>
    <x v="1"/>
    <x v="2"/>
    <x v="98"/>
    <n v="6"/>
    <n v="24.81"/>
    <n v="521.01"/>
    <x v="19"/>
    <d v="1899-12-30T18:14:00"/>
    <x v="1"/>
    <n v="496.2"/>
    <n v="4.7619047620000003"/>
    <n v="24.81"/>
    <n v="7.4"/>
  </r>
  <r>
    <x v="100"/>
    <x v="1"/>
    <x v="1"/>
    <x v="0"/>
    <x v="1"/>
    <x v="5"/>
    <x v="99"/>
    <n v="1"/>
    <n v="2.4355000000000002"/>
    <n v="51.145499999999998"/>
    <x v="58"/>
    <d v="1899-12-30T19:20:00"/>
    <x v="1"/>
    <n v="48.71"/>
    <n v="4.7619047620000003"/>
    <n v="2.4355000000000002"/>
    <n v="4.0999999999999996"/>
  </r>
  <r>
    <x v="101"/>
    <x v="1"/>
    <x v="1"/>
    <x v="1"/>
    <x v="1"/>
    <x v="5"/>
    <x v="100"/>
    <n v="9"/>
    <n v="35.347499999999997"/>
    <n v="742.29750000000001"/>
    <x v="59"/>
    <d v="1899-12-30T13:22:00"/>
    <x v="1"/>
    <n v="706.95"/>
    <n v="4.7619047620000003"/>
    <n v="35.347499999999997"/>
    <n v="7.2"/>
  </r>
  <r>
    <x v="102"/>
    <x v="1"/>
    <x v="1"/>
    <x v="1"/>
    <x v="0"/>
    <x v="1"/>
    <x v="101"/>
    <n v="9"/>
    <n v="10.381500000000001"/>
    <n v="218.01150000000001"/>
    <x v="60"/>
    <d v="1899-12-30T11:27:00"/>
    <x v="1"/>
    <n v="207.63"/>
    <n v="4.7619047620000003"/>
    <n v="10.381500000000001"/>
    <n v="4.9000000000000004"/>
  </r>
  <r>
    <x v="103"/>
    <x v="0"/>
    <x v="0"/>
    <x v="1"/>
    <x v="1"/>
    <x v="4"/>
    <x v="102"/>
    <n v="6"/>
    <n v="17.478000000000002"/>
    <n v="367.03800000000001"/>
    <x v="61"/>
    <d v="1899-12-30T16:44:00"/>
    <x v="1"/>
    <n v="349.56"/>
    <n v="4.7619047620000003"/>
    <n v="17.478000000000002"/>
    <n v="9.9"/>
  </r>
  <r>
    <x v="104"/>
    <x v="2"/>
    <x v="2"/>
    <x v="1"/>
    <x v="1"/>
    <x v="0"/>
    <x v="103"/>
    <n v="7"/>
    <n v="10.6225"/>
    <n v="223.07249999999999"/>
    <x v="35"/>
    <d v="1899-12-30T18:19:00"/>
    <x v="1"/>
    <n v="212.45"/>
    <n v="4.7619047620000003"/>
    <n v="10.6225"/>
    <n v="8"/>
  </r>
  <r>
    <x v="105"/>
    <x v="0"/>
    <x v="0"/>
    <x v="0"/>
    <x v="1"/>
    <x v="1"/>
    <x v="104"/>
    <n v="10"/>
    <n v="44.335000000000001"/>
    <n v="931.03499999999997"/>
    <x v="52"/>
    <d v="1899-12-30T14:50:00"/>
    <x v="0"/>
    <n v="886.7"/>
    <n v="4.7619047620000003"/>
    <n v="44.335000000000001"/>
    <n v="7.3"/>
  </r>
  <r>
    <x v="106"/>
    <x v="1"/>
    <x v="1"/>
    <x v="1"/>
    <x v="1"/>
    <x v="5"/>
    <x v="105"/>
    <n v="6"/>
    <n v="8.2140000000000004"/>
    <n v="172.494"/>
    <x v="0"/>
    <d v="1899-12-30T20:54:00"/>
    <x v="2"/>
    <n v="164.28"/>
    <n v="4.7619047620000003"/>
    <n v="8.2140000000000004"/>
    <n v="7.9"/>
  </r>
  <r>
    <x v="107"/>
    <x v="0"/>
    <x v="0"/>
    <x v="1"/>
    <x v="1"/>
    <x v="3"/>
    <x v="106"/>
    <n v="6"/>
    <n v="18.638999999999999"/>
    <n v="391.41899999999998"/>
    <x v="23"/>
    <d v="1899-12-30T20:19:00"/>
    <x v="1"/>
    <n v="372.78"/>
    <n v="4.7619047620000003"/>
    <n v="18.638999999999999"/>
    <n v="7.4"/>
  </r>
  <r>
    <x v="108"/>
    <x v="1"/>
    <x v="1"/>
    <x v="1"/>
    <x v="0"/>
    <x v="4"/>
    <x v="107"/>
    <n v="9"/>
    <n v="15.291"/>
    <n v="321.11099999999999"/>
    <x v="62"/>
    <d v="1899-12-30T10:43:00"/>
    <x v="1"/>
    <n v="305.82"/>
    <n v="4.7619047620000003"/>
    <n v="15.291"/>
    <n v="4.2"/>
  </r>
  <r>
    <x v="109"/>
    <x v="1"/>
    <x v="1"/>
    <x v="0"/>
    <x v="1"/>
    <x v="1"/>
    <x v="108"/>
    <n v="10"/>
    <n v="40.984999999999999"/>
    <n v="860.68499999999995"/>
    <x v="2"/>
    <d v="1899-12-30T14:30:00"/>
    <x v="1"/>
    <n v="819.7"/>
    <n v="4.7619047620000003"/>
    <n v="40.984999999999999"/>
    <n v="9.1999999999999993"/>
  </r>
  <r>
    <x v="110"/>
    <x v="2"/>
    <x v="2"/>
    <x v="0"/>
    <x v="0"/>
    <x v="3"/>
    <x v="109"/>
    <n v="2"/>
    <n v="1.649"/>
    <n v="34.628999999999998"/>
    <x v="63"/>
    <d v="1899-12-30T11:32:00"/>
    <x v="0"/>
    <n v="32.979999999999997"/>
    <n v="4.7619047620000003"/>
    <n v="1.649"/>
    <n v="4.5999999999999996"/>
  </r>
  <r>
    <x v="111"/>
    <x v="1"/>
    <x v="1"/>
    <x v="0"/>
    <x v="0"/>
    <x v="0"/>
    <x v="110"/>
    <n v="3"/>
    <n v="14.7315"/>
    <n v="309.36149999999998"/>
    <x v="63"/>
    <d v="1899-12-30T10:41:00"/>
    <x v="2"/>
    <n v="294.63"/>
    <n v="4.7619047620000003"/>
    <n v="14.7315"/>
    <n v="7.8"/>
  </r>
  <r>
    <x v="112"/>
    <x v="2"/>
    <x v="2"/>
    <x v="1"/>
    <x v="0"/>
    <x v="5"/>
    <x v="111"/>
    <n v="7"/>
    <n v="25.494"/>
    <n v="535.37400000000002"/>
    <x v="42"/>
    <d v="1899-12-30T12:44:00"/>
    <x v="1"/>
    <n v="509.88"/>
    <n v="4.7619047620000003"/>
    <n v="25.494"/>
    <n v="8.4"/>
  </r>
  <r>
    <x v="113"/>
    <x v="0"/>
    <x v="0"/>
    <x v="0"/>
    <x v="1"/>
    <x v="2"/>
    <x v="112"/>
    <n v="9"/>
    <n v="26.131499999999999"/>
    <n v="548.76149999999996"/>
    <x v="64"/>
    <d v="1899-12-30T20:07:00"/>
    <x v="0"/>
    <n v="522.63"/>
    <n v="4.7619047620000003"/>
    <n v="26.131499999999999"/>
    <n v="4.3"/>
  </r>
  <r>
    <x v="114"/>
    <x v="1"/>
    <x v="1"/>
    <x v="0"/>
    <x v="0"/>
    <x v="2"/>
    <x v="113"/>
    <n v="9"/>
    <n v="36.355499999999999"/>
    <n v="763.46550000000002"/>
    <x v="60"/>
    <d v="1899-12-30T20:31:00"/>
    <x v="2"/>
    <n v="727.11"/>
    <n v="4.7619047620000003"/>
    <n v="36.355499999999999"/>
    <n v="9.5"/>
  </r>
  <r>
    <x v="115"/>
    <x v="1"/>
    <x v="1"/>
    <x v="1"/>
    <x v="0"/>
    <x v="5"/>
    <x v="114"/>
    <n v="3"/>
    <n v="4.0529999999999999"/>
    <n v="85.113"/>
    <x v="22"/>
    <d v="1899-12-30T13:01:00"/>
    <x v="2"/>
    <n v="81.06"/>
    <n v="4.7619047620000003"/>
    <n v="4.0529999999999999"/>
    <n v="7.1"/>
  </r>
  <r>
    <x v="116"/>
    <x v="2"/>
    <x v="2"/>
    <x v="0"/>
    <x v="1"/>
    <x v="5"/>
    <x v="115"/>
    <n v="5"/>
    <n v="5.4850000000000003"/>
    <n v="115.185"/>
    <x v="19"/>
    <d v="1899-12-30T12:29:00"/>
    <x v="0"/>
    <n v="109.7"/>
    <n v="4.7619047620000003"/>
    <n v="5.4850000000000003"/>
    <n v="5.3"/>
  </r>
  <r>
    <x v="117"/>
    <x v="2"/>
    <x v="2"/>
    <x v="0"/>
    <x v="1"/>
    <x v="5"/>
    <x v="116"/>
    <n v="1"/>
    <n v="2.5680000000000001"/>
    <n v="53.927999999999997"/>
    <x v="65"/>
    <d v="1899-12-30T15:26:00"/>
    <x v="0"/>
    <n v="51.36"/>
    <n v="4.7619047620000003"/>
    <n v="2.5680000000000001"/>
    <n v="5.2"/>
  </r>
  <r>
    <x v="118"/>
    <x v="0"/>
    <x v="0"/>
    <x v="1"/>
    <x v="0"/>
    <x v="4"/>
    <x v="117"/>
    <n v="10"/>
    <n v="5.48"/>
    <n v="115.08"/>
    <x v="30"/>
    <d v="1899-12-30T20:48:00"/>
    <x v="0"/>
    <n v="109.6"/>
    <n v="4.7619047620000003"/>
    <n v="5.48"/>
    <n v="6"/>
  </r>
  <r>
    <x v="119"/>
    <x v="2"/>
    <x v="2"/>
    <x v="1"/>
    <x v="1"/>
    <x v="2"/>
    <x v="118"/>
    <n v="2"/>
    <n v="5.3440000000000003"/>
    <n v="112.224"/>
    <x v="40"/>
    <d v="1899-12-30T20:38:00"/>
    <x v="0"/>
    <n v="106.88"/>
    <n v="4.7619047620000003"/>
    <n v="5.3440000000000003"/>
    <n v="4.0999999999999996"/>
  </r>
  <r>
    <x v="120"/>
    <x v="0"/>
    <x v="0"/>
    <x v="1"/>
    <x v="0"/>
    <x v="1"/>
    <x v="119"/>
    <n v="8"/>
    <n v="39.823999999999998"/>
    <n v="836.30399999999997"/>
    <x v="44"/>
    <d v="1899-12-30T17:03:00"/>
    <x v="2"/>
    <n v="796.48"/>
    <n v="4.7619047620000003"/>
    <n v="39.823999999999998"/>
    <n v="5.2"/>
  </r>
  <r>
    <x v="121"/>
    <x v="1"/>
    <x v="1"/>
    <x v="0"/>
    <x v="1"/>
    <x v="3"/>
    <x v="120"/>
    <n v="7"/>
    <n v="19.992000000000001"/>
    <n v="419.83199999999999"/>
    <x v="52"/>
    <d v="1899-12-30T12:02:00"/>
    <x v="2"/>
    <n v="399.84"/>
    <n v="4.7619047620000003"/>
    <n v="19.992000000000001"/>
    <n v="6.5"/>
  </r>
  <r>
    <x v="122"/>
    <x v="2"/>
    <x v="2"/>
    <x v="0"/>
    <x v="1"/>
    <x v="3"/>
    <x v="121"/>
    <n v="9"/>
    <n v="44.981999999999999"/>
    <n v="944.62199999999996"/>
    <x v="11"/>
    <d v="1899-12-30T17:26:00"/>
    <x v="2"/>
    <n v="899.64"/>
    <n v="4.7619047620000003"/>
    <n v="44.981999999999999"/>
    <n v="4.2"/>
  </r>
  <r>
    <x v="123"/>
    <x v="1"/>
    <x v="1"/>
    <x v="0"/>
    <x v="1"/>
    <x v="2"/>
    <x v="122"/>
    <n v="8"/>
    <n v="25.564"/>
    <n v="536.84400000000005"/>
    <x v="45"/>
    <d v="1899-12-30T19:52:00"/>
    <x v="2"/>
    <n v="511.28"/>
    <n v="4.7619047620000003"/>
    <n v="25.564"/>
    <n v="4.5999999999999996"/>
  </r>
  <r>
    <x v="124"/>
    <x v="2"/>
    <x v="2"/>
    <x v="0"/>
    <x v="0"/>
    <x v="5"/>
    <x v="123"/>
    <n v="8"/>
    <n v="22.588000000000001"/>
    <n v="474.34800000000001"/>
    <x v="11"/>
    <d v="1899-12-30T14:57:00"/>
    <x v="0"/>
    <n v="451.76"/>
    <n v="4.7619047620000003"/>
    <n v="22.588000000000001"/>
    <n v="7.3"/>
  </r>
  <r>
    <x v="125"/>
    <x v="0"/>
    <x v="0"/>
    <x v="1"/>
    <x v="0"/>
    <x v="2"/>
    <x v="124"/>
    <n v="7"/>
    <n v="32.791499999999999"/>
    <n v="688.62149999999997"/>
    <x v="24"/>
    <d v="1899-12-30T18:44:00"/>
    <x v="2"/>
    <n v="655.83"/>
    <n v="4.7619047620000003"/>
    <n v="32.791499999999999"/>
    <n v="4.5"/>
  </r>
  <r>
    <x v="126"/>
    <x v="0"/>
    <x v="0"/>
    <x v="1"/>
    <x v="0"/>
    <x v="3"/>
    <x v="125"/>
    <n v="5"/>
    <n v="8.0625"/>
    <n v="169.3125"/>
    <x v="3"/>
    <d v="1899-12-30T13:26:00"/>
    <x v="1"/>
    <n v="161.25"/>
    <n v="4.7619047620000003"/>
    <n v="8.0625"/>
    <n v="9"/>
  </r>
  <r>
    <x v="127"/>
    <x v="1"/>
    <x v="1"/>
    <x v="1"/>
    <x v="0"/>
    <x v="5"/>
    <x v="126"/>
    <n v="9"/>
    <n v="14.278499999999999"/>
    <n v="299.8485"/>
    <x v="66"/>
    <d v="1899-12-30T16:17:00"/>
    <x v="2"/>
    <n v="285.57"/>
    <n v="4.7619047620000003"/>
    <n v="14.278499999999999"/>
    <n v="5.9"/>
  </r>
  <r>
    <x v="128"/>
    <x v="1"/>
    <x v="1"/>
    <x v="0"/>
    <x v="0"/>
    <x v="4"/>
    <x v="127"/>
    <n v="8"/>
    <n v="27.416"/>
    <n v="575.73599999999999"/>
    <x v="66"/>
    <d v="1899-12-30T15:57:00"/>
    <x v="0"/>
    <n v="548.32000000000005"/>
    <n v="4.7619047620000003"/>
    <n v="27.416"/>
    <n v="8.5"/>
  </r>
  <r>
    <x v="129"/>
    <x v="2"/>
    <x v="2"/>
    <x v="1"/>
    <x v="0"/>
    <x v="3"/>
    <x v="128"/>
    <n v="9"/>
    <n v="40.625999999999998"/>
    <n v="853.14599999999996"/>
    <x v="4"/>
    <d v="1899-12-30T11:15:00"/>
    <x v="0"/>
    <n v="812.52"/>
    <n v="4.7619047620000003"/>
    <n v="40.625999999999998"/>
    <n v="7.2"/>
  </r>
  <r>
    <x v="130"/>
    <x v="2"/>
    <x v="2"/>
    <x v="1"/>
    <x v="0"/>
    <x v="5"/>
    <x v="129"/>
    <n v="7"/>
    <n v="13.867000000000001"/>
    <n v="291.20699999999999"/>
    <x v="25"/>
    <d v="1899-12-30T13:18:00"/>
    <x v="1"/>
    <n v="277.33999999999997"/>
    <n v="4.7619047620000003"/>
    <n v="13.867000000000001"/>
    <n v="7.5"/>
  </r>
  <r>
    <x v="131"/>
    <x v="0"/>
    <x v="0"/>
    <x v="0"/>
    <x v="0"/>
    <x v="3"/>
    <x v="130"/>
    <n v="6"/>
    <n v="27.638999999999999"/>
    <n v="580.41899999999998"/>
    <x v="43"/>
    <d v="1899-12-30T20:34:00"/>
    <x v="1"/>
    <n v="552.78"/>
    <n v="4.7619047620000003"/>
    <n v="27.638999999999999"/>
    <n v="8.3000000000000007"/>
  </r>
  <r>
    <x v="132"/>
    <x v="2"/>
    <x v="2"/>
    <x v="1"/>
    <x v="0"/>
    <x v="3"/>
    <x v="131"/>
    <n v="4"/>
    <n v="6.968"/>
    <n v="146.328"/>
    <x v="34"/>
    <d v="1899-12-30T18:36:00"/>
    <x v="1"/>
    <n v="139.36000000000001"/>
    <n v="4.7619047620000003"/>
    <n v="6.968"/>
    <n v="7.4"/>
  </r>
  <r>
    <x v="133"/>
    <x v="2"/>
    <x v="2"/>
    <x v="0"/>
    <x v="1"/>
    <x v="1"/>
    <x v="132"/>
    <n v="6"/>
    <n v="26.234999999999999"/>
    <n v="550.93499999999995"/>
    <x v="21"/>
    <d v="1899-12-30T14:40:00"/>
    <x v="2"/>
    <n v="524.70000000000005"/>
    <n v="4.7619047620000003"/>
    <n v="26.234999999999999"/>
    <n v="8.8000000000000007"/>
  </r>
  <r>
    <x v="134"/>
    <x v="1"/>
    <x v="1"/>
    <x v="1"/>
    <x v="0"/>
    <x v="0"/>
    <x v="133"/>
    <n v="6"/>
    <n v="24.39"/>
    <n v="512.19000000000005"/>
    <x v="1"/>
    <d v="1899-12-30T16:43:00"/>
    <x v="0"/>
    <n v="487.8"/>
    <n v="4.7619047620000003"/>
    <n v="24.39"/>
    <n v="5.3"/>
  </r>
  <r>
    <x v="135"/>
    <x v="1"/>
    <x v="1"/>
    <x v="1"/>
    <x v="1"/>
    <x v="5"/>
    <x v="134"/>
    <n v="3"/>
    <n v="13.532999999999999"/>
    <n v="284.19299999999998"/>
    <x v="67"/>
    <d v="1899-12-30T19:39:00"/>
    <x v="1"/>
    <n v="270.66000000000003"/>
    <n v="4.7619047620000003"/>
    <n v="13.532999999999999"/>
    <n v="6.2"/>
  </r>
  <r>
    <x v="136"/>
    <x v="0"/>
    <x v="0"/>
    <x v="1"/>
    <x v="0"/>
    <x v="1"/>
    <x v="135"/>
    <n v="5"/>
    <n v="6.5774999999999997"/>
    <n v="138.1275"/>
    <x v="68"/>
    <d v="1899-12-30T20:59:00"/>
    <x v="2"/>
    <n v="131.55000000000001"/>
    <n v="4.7619047620000003"/>
    <n v="6.5774999999999997"/>
    <n v="8.8000000000000007"/>
  </r>
  <r>
    <x v="137"/>
    <x v="0"/>
    <x v="0"/>
    <x v="0"/>
    <x v="0"/>
    <x v="2"/>
    <x v="136"/>
    <n v="6"/>
    <n v="10.326000000000001"/>
    <n v="216.846"/>
    <x v="67"/>
    <d v="1899-12-30T15:39:00"/>
    <x v="1"/>
    <n v="206.52"/>
    <n v="4.7619047620000003"/>
    <n v="10.326000000000001"/>
    <n v="9.8000000000000007"/>
  </r>
  <r>
    <x v="138"/>
    <x v="2"/>
    <x v="2"/>
    <x v="1"/>
    <x v="1"/>
    <x v="3"/>
    <x v="137"/>
    <n v="10"/>
    <n v="25.954999999999998"/>
    <n v="545.05499999999995"/>
    <x v="69"/>
    <d v="1899-12-30T12:21:00"/>
    <x v="1"/>
    <n v="519.1"/>
    <n v="4.7619047620000003"/>
    <n v="25.954999999999998"/>
    <n v="8.1999999999999993"/>
  </r>
  <r>
    <x v="139"/>
    <x v="0"/>
    <x v="0"/>
    <x v="1"/>
    <x v="1"/>
    <x v="3"/>
    <x v="138"/>
    <n v="8"/>
    <n v="29"/>
    <n v="609"/>
    <x v="32"/>
    <d v="1899-12-30T19:25:00"/>
    <x v="0"/>
    <n v="580"/>
    <n v="4.7619047620000003"/>
    <n v="29"/>
    <n v="9.1999999999999993"/>
  </r>
  <r>
    <x v="140"/>
    <x v="1"/>
    <x v="1"/>
    <x v="0"/>
    <x v="0"/>
    <x v="3"/>
    <x v="139"/>
    <n v="10"/>
    <n v="44.9"/>
    <n v="942.9"/>
    <x v="54"/>
    <d v="1899-12-30T13:00:00"/>
    <x v="2"/>
    <n v="898"/>
    <n v="4.7619047620000003"/>
    <n v="44.9"/>
    <n v="5.4"/>
  </r>
  <r>
    <x v="141"/>
    <x v="1"/>
    <x v="1"/>
    <x v="0"/>
    <x v="1"/>
    <x v="0"/>
    <x v="140"/>
    <n v="10"/>
    <n v="45.25"/>
    <n v="950.25"/>
    <x v="25"/>
    <d v="1899-12-30T13:48:00"/>
    <x v="1"/>
    <n v="905"/>
    <n v="4.7619047620000003"/>
    <n v="45.25"/>
    <n v="8.1"/>
  </r>
  <r>
    <x v="142"/>
    <x v="1"/>
    <x v="1"/>
    <x v="0"/>
    <x v="0"/>
    <x v="0"/>
    <x v="141"/>
    <n v="10"/>
    <n v="34.299999999999997"/>
    <n v="720.3"/>
    <x v="63"/>
    <d v="1899-12-30T19:57:00"/>
    <x v="1"/>
    <n v="686"/>
    <n v="4.7619047620000003"/>
    <n v="34.299999999999997"/>
    <n v="9.1"/>
  </r>
  <r>
    <x v="143"/>
    <x v="1"/>
    <x v="1"/>
    <x v="0"/>
    <x v="0"/>
    <x v="4"/>
    <x v="142"/>
    <n v="1"/>
    <n v="1.5205"/>
    <n v="31.930499999999999"/>
    <x v="70"/>
    <d v="1899-12-30T10:36:00"/>
    <x v="2"/>
    <n v="30.41"/>
    <n v="4.7619047620000003"/>
    <n v="1.5205"/>
    <n v="8.4"/>
  </r>
  <r>
    <x v="144"/>
    <x v="0"/>
    <x v="0"/>
    <x v="1"/>
    <x v="0"/>
    <x v="2"/>
    <x v="143"/>
    <n v="6"/>
    <n v="23.385000000000002"/>
    <n v="491.08499999999998"/>
    <x v="18"/>
    <d v="1899-12-30T16:37:00"/>
    <x v="0"/>
    <n v="467.7"/>
    <n v="4.7619047620000003"/>
    <n v="23.385000000000002"/>
    <n v="8"/>
  </r>
  <r>
    <x v="145"/>
    <x v="1"/>
    <x v="1"/>
    <x v="1"/>
    <x v="0"/>
    <x v="0"/>
    <x v="144"/>
    <n v="6"/>
    <n v="13.878"/>
    <n v="291.43799999999999"/>
    <x v="1"/>
    <d v="1899-12-30T17:11:00"/>
    <x v="2"/>
    <n v="277.56"/>
    <n v="4.7619047620000003"/>
    <n v="13.878"/>
    <n v="9.5"/>
  </r>
  <r>
    <x v="146"/>
    <x v="0"/>
    <x v="0"/>
    <x v="0"/>
    <x v="0"/>
    <x v="5"/>
    <x v="145"/>
    <n v="10"/>
    <n v="15.07"/>
    <n v="316.47000000000003"/>
    <x v="34"/>
    <d v="1899-12-30T12:28:00"/>
    <x v="0"/>
    <n v="301.39999999999998"/>
    <n v="4.7619047620000003"/>
    <n v="15.07"/>
    <n v="9.1999999999999993"/>
  </r>
  <r>
    <x v="147"/>
    <x v="1"/>
    <x v="1"/>
    <x v="1"/>
    <x v="1"/>
    <x v="0"/>
    <x v="146"/>
    <n v="4"/>
    <n v="13.228"/>
    <n v="277.78800000000001"/>
    <x v="35"/>
    <d v="1899-12-30T12:46:00"/>
    <x v="2"/>
    <n v="264.56"/>
    <n v="4.7619047620000003"/>
    <n v="13.228"/>
    <n v="5.6"/>
  </r>
  <r>
    <x v="148"/>
    <x v="2"/>
    <x v="2"/>
    <x v="0"/>
    <x v="1"/>
    <x v="2"/>
    <x v="147"/>
    <n v="8"/>
    <n v="28.744"/>
    <n v="603.62400000000002"/>
    <x v="43"/>
    <d v="1899-12-30T15:07:00"/>
    <x v="2"/>
    <n v="574.88"/>
    <n v="4.7619047620000003"/>
    <n v="28.744"/>
    <n v="6.2"/>
  </r>
  <r>
    <x v="149"/>
    <x v="0"/>
    <x v="0"/>
    <x v="1"/>
    <x v="1"/>
    <x v="0"/>
    <x v="148"/>
    <n v="8"/>
    <n v="12.984"/>
    <n v="272.66399999999999"/>
    <x v="39"/>
    <d v="1899-12-30T13:48:00"/>
    <x v="2"/>
    <n v="259.68"/>
    <n v="4.7619047620000003"/>
    <n v="12.984"/>
    <n v="4.9000000000000004"/>
  </r>
  <r>
    <x v="150"/>
    <x v="2"/>
    <x v="2"/>
    <x v="0"/>
    <x v="0"/>
    <x v="5"/>
    <x v="149"/>
    <n v="4"/>
    <n v="18.308"/>
    <n v="384.46800000000002"/>
    <x v="28"/>
    <d v="1899-12-30T19:20:00"/>
    <x v="2"/>
    <n v="366.16"/>
    <n v="4.7619047620000003"/>
    <n v="18.308"/>
    <n v="4.8"/>
  </r>
  <r>
    <x v="151"/>
    <x v="1"/>
    <x v="1"/>
    <x v="0"/>
    <x v="1"/>
    <x v="3"/>
    <x v="23"/>
    <n v="7"/>
    <n v="12.096"/>
    <n v="254.01599999999999"/>
    <x v="16"/>
    <d v="1899-12-30T16:07:00"/>
    <x v="2"/>
    <n v="241.92"/>
    <n v="4.7619047620000003"/>
    <n v="12.096"/>
    <n v="7.3"/>
  </r>
  <r>
    <x v="152"/>
    <x v="0"/>
    <x v="0"/>
    <x v="1"/>
    <x v="1"/>
    <x v="5"/>
    <x v="150"/>
    <n v="9"/>
    <n v="37.457999999999998"/>
    <n v="786.61800000000005"/>
    <x v="71"/>
    <d v="1899-12-30T11:56:00"/>
    <x v="2"/>
    <n v="749.16"/>
    <n v="4.7619047620000003"/>
    <n v="37.457999999999998"/>
    <n v="7.4"/>
  </r>
  <r>
    <x v="153"/>
    <x v="1"/>
    <x v="1"/>
    <x v="1"/>
    <x v="0"/>
    <x v="4"/>
    <x v="151"/>
    <n v="6"/>
    <n v="4.944"/>
    <n v="103.824"/>
    <x v="13"/>
    <d v="1899-12-30T18:23:00"/>
    <x v="0"/>
    <n v="98.88"/>
    <n v="4.7619047620000003"/>
    <n v="4.944"/>
    <n v="9.9"/>
  </r>
  <r>
    <x v="154"/>
    <x v="1"/>
    <x v="1"/>
    <x v="1"/>
    <x v="0"/>
    <x v="3"/>
    <x v="152"/>
    <n v="8"/>
    <n v="32.387999999999998"/>
    <n v="680.14800000000002"/>
    <x v="26"/>
    <d v="1899-12-30T13:05:00"/>
    <x v="1"/>
    <n v="647.76"/>
    <n v="4.7619047620000003"/>
    <n v="32.387999999999998"/>
    <n v="9.3000000000000007"/>
  </r>
  <r>
    <x v="155"/>
    <x v="0"/>
    <x v="0"/>
    <x v="0"/>
    <x v="1"/>
    <x v="4"/>
    <x v="153"/>
    <n v="5"/>
    <n v="23.072500000000002"/>
    <n v="484.52249999999998"/>
    <x v="9"/>
    <d v="1899-12-30T15:55:00"/>
    <x v="2"/>
    <n v="461.45"/>
    <n v="4.7619047620000003"/>
    <n v="23.072500000000002"/>
    <n v="9"/>
  </r>
  <r>
    <x v="156"/>
    <x v="2"/>
    <x v="2"/>
    <x v="0"/>
    <x v="1"/>
    <x v="1"/>
    <x v="154"/>
    <n v="1"/>
    <n v="3.6084999999999998"/>
    <n v="75.778499999999994"/>
    <x v="72"/>
    <d v="1899-12-30T19:40:00"/>
    <x v="1"/>
    <n v="72.17"/>
    <n v="4.7619047620000003"/>
    <n v="3.6084999999999998"/>
    <n v="6.1"/>
  </r>
  <r>
    <x v="157"/>
    <x v="2"/>
    <x v="2"/>
    <x v="1"/>
    <x v="1"/>
    <x v="2"/>
    <x v="155"/>
    <n v="5"/>
    <n v="12.57"/>
    <n v="263.97000000000003"/>
    <x v="37"/>
    <d v="1899-12-30T13:58:00"/>
    <x v="0"/>
    <n v="251.4"/>
    <n v="4.7619047620000003"/>
    <n v="12.57"/>
    <n v="9.6999999999999993"/>
  </r>
  <r>
    <x v="158"/>
    <x v="2"/>
    <x v="2"/>
    <x v="0"/>
    <x v="1"/>
    <x v="0"/>
    <x v="156"/>
    <n v="9"/>
    <n v="43.749000000000002"/>
    <n v="918.72900000000004"/>
    <x v="73"/>
    <d v="1899-12-30T14:43:00"/>
    <x v="0"/>
    <n v="874.98"/>
    <n v="4.7619047620000003"/>
    <n v="43.749000000000002"/>
    <n v="6"/>
  </r>
  <r>
    <x v="159"/>
    <x v="2"/>
    <x v="2"/>
    <x v="1"/>
    <x v="1"/>
    <x v="3"/>
    <x v="157"/>
    <n v="6"/>
    <n v="28.016999999999999"/>
    <n v="588.35699999999997"/>
    <x v="39"/>
    <d v="1899-12-30T19:18:00"/>
    <x v="0"/>
    <n v="560.34"/>
    <n v="4.7619047620000003"/>
    <n v="28.016999999999999"/>
    <n v="10"/>
  </r>
  <r>
    <x v="160"/>
    <x v="1"/>
    <x v="1"/>
    <x v="1"/>
    <x v="0"/>
    <x v="4"/>
    <x v="158"/>
    <n v="8"/>
    <n v="17.271999999999998"/>
    <n v="362.71199999999999"/>
    <x v="64"/>
    <d v="1899-12-30T19:39:00"/>
    <x v="2"/>
    <n v="345.44"/>
    <n v="4.7619047620000003"/>
    <n v="17.271999999999998"/>
    <n v="8.3000000000000007"/>
  </r>
  <r>
    <x v="161"/>
    <x v="0"/>
    <x v="0"/>
    <x v="1"/>
    <x v="1"/>
    <x v="3"/>
    <x v="159"/>
    <n v="1"/>
    <n v="3.1844999999999999"/>
    <n v="66.874499999999998"/>
    <x v="6"/>
    <d v="1899-12-30T16:21:00"/>
    <x v="1"/>
    <n v="63.69"/>
    <n v="4.7619047620000003"/>
    <n v="3.1844999999999999"/>
    <n v="6"/>
  </r>
  <r>
    <x v="162"/>
    <x v="0"/>
    <x v="0"/>
    <x v="1"/>
    <x v="1"/>
    <x v="4"/>
    <x v="160"/>
    <n v="7"/>
    <n v="16.026499999999999"/>
    <n v="336.55650000000003"/>
    <x v="45"/>
    <d v="1899-12-30T19:44:00"/>
    <x v="2"/>
    <n v="320.52999999999997"/>
    <n v="4.7619047620000003"/>
    <n v="16.026499999999999"/>
    <n v="7"/>
  </r>
  <r>
    <x v="163"/>
    <x v="1"/>
    <x v="1"/>
    <x v="1"/>
    <x v="1"/>
    <x v="3"/>
    <x v="161"/>
    <n v="2"/>
    <n v="7.64"/>
    <n v="160.44"/>
    <x v="74"/>
    <d v="1899-12-30T19:42:00"/>
    <x v="0"/>
    <n v="152.80000000000001"/>
    <n v="4.7619047620000003"/>
    <n v="7.64"/>
    <n v="6.5"/>
  </r>
  <r>
    <x v="164"/>
    <x v="2"/>
    <x v="2"/>
    <x v="1"/>
    <x v="1"/>
    <x v="4"/>
    <x v="162"/>
    <n v="10"/>
    <n v="19.95"/>
    <n v="418.95"/>
    <x v="9"/>
    <d v="1899-12-30T15:24:00"/>
    <x v="2"/>
    <n v="399"/>
    <n v="4.7619047620000003"/>
    <n v="19.95"/>
    <n v="5.9"/>
  </r>
  <r>
    <x v="165"/>
    <x v="2"/>
    <x v="2"/>
    <x v="0"/>
    <x v="1"/>
    <x v="0"/>
    <x v="163"/>
    <n v="8"/>
    <n v="17.027999999999999"/>
    <n v="357.58800000000002"/>
    <x v="6"/>
    <d v="1899-12-30T14:12:00"/>
    <x v="0"/>
    <n v="340.56"/>
    <n v="4.7619047620000003"/>
    <n v="17.027999999999999"/>
    <n v="5.6"/>
  </r>
  <r>
    <x v="166"/>
    <x v="1"/>
    <x v="1"/>
    <x v="1"/>
    <x v="1"/>
    <x v="2"/>
    <x v="164"/>
    <n v="10"/>
    <n v="47.79"/>
    <n v="1003.59"/>
    <x v="65"/>
    <d v="1899-12-30T13:32:00"/>
    <x v="1"/>
    <n v="955.8"/>
    <n v="4.7619047620000003"/>
    <n v="47.79"/>
    <n v="4.8"/>
  </r>
  <r>
    <x v="167"/>
    <x v="0"/>
    <x v="0"/>
    <x v="1"/>
    <x v="1"/>
    <x v="5"/>
    <x v="165"/>
    <n v="10"/>
    <n v="49.49"/>
    <n v="1039.29"/>
    <x v="4"/>
    <d v="1899-12-30T16:20:00"/>
    <x v="2"/>
    <n v="989.8"/>
    <n v="4.7619047620000003"/>
    <n v="49.49"/>
    <n v="8.6999999999999993"/>
  </r>
  <r>
    <x v="168"/>
    <x v="0"/>
    <x v="0"/>
    <x v="1"/>
    <x v="1"/>
    <x v="4"/>
    <x v="166"/>
    <n v="6"/>
    <n v="15.384"/>
    <n v="323.06400000000002"/>
    <x v="64"/>
    <d v="1899-12-30T16:31:00"/>
    <x v="1"/>
    <n v="307.68"/>
    <n v="4.7619047620000003"/>
    <n v="15.384"/>
    <n v="6.5"/>
  </r>
  <r>
    <x v="169"/>
    <x v="0"/>
    <x v="0"/>
    <x v="0"/>
    <x v="1"/>
    <x v="3"/>
    <x v="167"/>
    <n v="7"/>
    <n v="24.332000000000001"/>
    <n v="510.97199999999998"/>
    <x v="60"/>
    <d v="1899-12-30T15:10:00"/>
    <x v="2"/>
    <n v="486.64"/>
    <n v="4.7619047620000003"/>
    <n v="24.332000000000001"/>
    <n v="8.5"/>
  </r>
  <r>
    <x v="170"/>
    <x v="0"/>
    <x v="0"/>
    <x v="1"/>
    <x v="1"/>
    <x v="0"/>
    <x v="168"/>
    <n v="5"/>
    <n v="17.502500000000001"/>
    <n v="367.55250000000001"/>
    <x v="75"/>
    <d v="1899-12-30T11:36:00"/>
    <x v="0"/>
    <n v="350.05"/>
    <n v="4.7619047620000003"/>
    <n v="17.502500000000001"/>
    <n v="5.5"/>
  </r>
  <r>
    <x v="171"/>
    <x v="2"/>
    <x v="2"/>
    <x v="0"/>
    <x v="1"/>
    <x v="4"/>
    <x v="169"/>
    <n v="5"/>
    <n v="20.012499999999999"/>
    <n v="420.26249999999999"/>
    <x v="53"/>
    <d v="1899-12-30T12:45:00"/>
    <x v="2"/>
    <n v="400.25"/>
    <n v="4.7619047620000003"/>
    <n v="20.012499999999999"/>
    <n v="9.4"/>
  </r>
  <r>
    <x v="172"/>
    <x v="1"/>
    <x v="1"/>
    <x v="1"/>
    <x v="1"/>
    <x v="1"/>
    <x v="170"/>
    <n v="8"/>
    <n v="8.34"/>
    <n v="175.14"/>
    <x v="2"/>
    <d v="1899-12-30T19:17:00"/>
    <x v="1"/>
    <n v="166.8"/>
    <n v="4.7619047620000003"/>
    <n v="8.34"/>
    <n v="6.3"/>
  </r>
  <r>
    <x v="173"/>
    <x v="2"/>
    <x v="2"/>
    <x v="0"/>
    <x v="1"/>
    <x v="1"/>
    <x v="171"/>
    <n v="6"/>
    <n v="15.867000000000001"/>
    <n v="333.20699999999999"/>
    <x v="64"/>
    <d v="1899-12-30T17:34:00"/>
    <x v="2"/>
    <n v="317.33999999999997"/>
    <n v="4.7619047620000003"/>
    <n v="15.867000000000001"/>
    <n v="9.8000000000000007"/>
  </r>
  <r>
    <x v="174"/>
    <x v="2"/>
    <x v="2"/>
    <x v="1"/>
    <x v="1"/>
    <x v="4"/>
    <x v="172"/>
    <n v="8"/>
    <n v="7.9160000000000004"/>
    <n v="166.23599999999999"/>
    <x v="68"/>
    <d v="1899-12-30T12:04:00"/>
    <x v="0"/>
    <n v="158.32"/>
    <n v="4.7619047620000003"/>
    <n v="7.9160000000000004"/>
    <n v="8.6999999999999993"/>
  </r>
  <r>
    <x v="175"/>
    <x v="0"/>
    <x v="0"/>
    <x v="0"/>
    <x v="1"/>
    <x v="2"/>
    <x v="173"/>
    <n v="9"/>
    <n v="15.228"/>
    <n v="319.78800000000001"/>
    <x v="76"/>
    <d v="1899-12-30T16:21:00"/>
    <x v="0"/>
    <n v="304.56"/>
    <n v="4.7619047620000003"/>
    <n v="15.228"/>
    <n v="8.8000000000000007"/>
  </r>
  <r>
    <x v="176"/>
    <x v="0"/>
    <x v="0"/>
    <x v="0"/>
    <x v="1"/>
    <x v="4"/>
    <x v="174"/>
    <n v="8"/>
    <n v="8.8680000000000003"/>
    <n v="186.22800000000001"/>
    <x v="2"/>
    <d v="1899-12-30T17:01:00"/>
    <x v="2"/>
    <n v="177.36"/>
    <n v="4.7619047620000003"/>
    <n v="8.8680000000000003"/>
    <n v="9.6"/>
  </r>
  <r>
    <x v="177"/>
    <x v="1"/>
    <x v="1"/>
    <x v="1"/>
    <x v="0"/>
    <x v="5"/>
    <x v="175"/>
    <n v="7"/>
    <n v="7.8784999999999998"/>
    <n v="165.4485"/>
    <x v="77"/>
    <d v="1899-12-30T10:50:00"/>
    <x v="2"/>
    <n v="157.57"/>
    <n v="4.7619047620000003"/>
    <n v="7.8784999999999998"/>
    <n v="4.8"/>
  </r>
  <r>
    <x v="178"/>
    <x v="0"/>
    <x v="0"/>
    <x v="1"/>
    <x v="1"/>
    <x v="4"/>
    <x v="176"/>
    <n v="6"/>
    <n v="22.164000000000001"/>
    <n v="465.44400000000002"/>
    <x v="28"/>
    <d v="1899-12-30T19:16:00"/>
    <x v="0"/>
    <n v="443.28"/>
    <n v="4.7619047620000003"/>
    <n v="22.164000000000001"/>
    <n v="4.4000000000000004"/>
  </r>
  <r>
    <x v="179"/>
    <x v="1"/>
    <x v="1"/>
    <x v="0"/>
    <x v="1"/>
    <x v="0"/>
    <x v="177"/>
    <n v="3"/>
    <n v="13.02"/>
    <n v="273.42"/>
    <x v="26"/>
    <d v="1899-12-30T16:47:00"/>
    <x v="0"/>
    <n v="260.39999999999998"/>
    <n v="4.7619047620000003"/>
    <n v="13.02"/>
    <n v="9.9"/>
  </r>
  <r>
    <x v="180"/>
    <x v="1"/>
    <x v="1"/>
    <x v="1"/>
    <x v="1"/>
    <x v="5"/>
    <x v="178"/>
    <n v="7"/>
    <n v="22.491"/>
    <n v="472.31099999999998"/>
    <x v="57"/>
    <d v="1899-12-30T10:00:00"/>
    <x v="1"/>
    <n v="449.82"/>
    <n v="4.7619047620000003"/>
    <n v="22.491"/>
    <n v="5.7"/>
  </r>
  <r>
    <x v="181"/>
    <x v="1"/>
    <x v="1"/>
    <x v="0"/>
    <x v="1"/>
    <x v="4"/>
    <x v="179"/>
    <n v="8"/>
    <n v="15.388"/>
    <n v="323.14800000000002"/>
    <x v="54"/>
    <d v="1899-12-30T11:51:00"/>
    <x v="1"/>
    <n v="307.76"/>
    <n v="4.7619047620000003"/>
    <n v="15.388"/>
    <n v="7.7"/>
  </r>
  <r>
    <x v="182"/>
    <x v="0"/>
    <x v="0"/>
    <x v="0"/>
    <x v="1"/>
    <x v="3"/>
    <x v="180"/>
    <n v="10"/>
    <n v="7.75"/>
    <n v="162.75"/>
    <x v="28"/>
    <d v="1899-12-30T10:55:00"/>
    <x v="0"/>
    <n v="155"/>
    <n v="4.7619047620000003"/>
    <n v="7.75"/>
    <n v="8"/>
  </r>
  <r>
    <x v="183"/>
    <x v="1"/>
    <x v="1"/>
    <x v="1"/>
    <x v="1"/>
    <x v="0"/>
    <x v="181"/>
    <n v="8"/>
    <n v="13.724"/>
    <n v="288.20400000000001"/>
    <x v="25"/>
    <d v="1899-12-30T15:00:00"/>
    <x v="0"/>
    <n v="274.48"/>
    <n v="4.7619047620000003"/>
    <n v="13.724"/>
    <n v="5.7"/>
  </r>
  <r>
    <x v="184"/>
    <x v="0"/>
    <x v="0"/>
    <x v="1"/>
    <x v="0"/>
    <x v="3"/>
    <x v="182"/>
    <n v="7"/>
    <n v="4.319"/>
    <n v="90.698999999999998"/>
    <x v="31"/>
    <d v="1899-12-30T11:19:00"/>
    <x v="2"/>
    <n v="86.38"/>
    <n v="4.7619047620000003"/>
    <n v="4.319"/>
    <n v="6.7"/>
  </r>
  <r>
    <x v="185"/>
    <x v="2"/>
    <x v="2"/>
    <x v="0"/>
    <x v="1"/>
    <x v="4"/>
    <x v="183"/>
    <n v="3"/>
    <n v="2.7120000000000002"/>
    <n v="56.951999999999998"/>
    <x v="19"/>
    <d v="1899-12-30T19:46:00"/>
    <x v="0"/>
    <n v="54.24"/>
    <n v="4.7619047620000003"/>
    <n v="2.7120000000000002"/>
    <n v="8"/>
  </r>
  <r>
    <x v="186"/>
    <x v="2"/>
    <x v="2"/>
    <x v="0"/>
    <x v="0"/>
    <x v="2"/>
    <x v="184"/>
    <n v="8"/>
    <n v="37.795999999999999"/>
    <n v="793.71600000000001"/>
    <x v="2"/>
    <d v="1899-12-30T19:00:00"/>
    <x v="0"/>
    <n v="755.92"/>
    <n v="4.7619047620000003"/>
    <n v="37.795999999999999"/>
    <n v="7.5"/>
  </r>
  <r>
    <x v="187"/>
    <x v="2"/>
    <x v="2"/>
    <x v="0"/>
    <x v="1"/>
    <x v="2"/>
    <x v="185"/>
    <n v="4"/>
    <n v="9.2940000000000005"/>
    <n v="195.17400000000001"/>
    <x v="4"/>
    <d v="1899-12-30T10:53:00"/>
    <x v="1"/>
    <n v="185.88"/>
    <n v="4.7619047620000003"/>
    <n v="9.2940000000000005"/>
    <n v="7"/>
  </r>
  <r>
    <x v="188"/>
    <x v="0"/>
    <x v="0"/>
    <x v="1"/>
    <x v="1"/>
    <x v="2"/>
    <x v="186"/>
    <n v="1"/>
    <n v="3.7035"/>
    <n v="77.773499999999999"/>
    <x v="34"/>
    <d v="1899-12-30T12:50:00"/>
    <x v="0"/>
    <n v="74.069999999999993"/>
    <n v="4.7619047620000003"/>
    <n v="3.7035"/>
    <n v="9.9"/>
  </r>
  <r>
    <x v="189"/>
    <x v="1"/>
    <x v="1"/>
    <x v="1"/>
    <x v="0"/>
    <x v="2"/>
    <x v="187"/>
    <n v="4"/>
    <n v="13.962"/>
    <n v="293.202"/>
    <x v="26"/>
    <d v="1899-12-30T20:50:00"/>
    <x v="2"/>
    <n v="279.24"/>
    <n v="4.7619047620000003"/>
    <n v="13.962"/>
    <n v="5.9"/>
  </r>
  <r>
    <x v="190"/>
    <x v="2"/>
    <x v="2"/>
    <x v="1"/>
    <x v="0"/>
    <x v="2"/>
    <x v="188"/>
    <n v="3"/>
    <n v="11.555999999999999"/>
    <n v="242.67599999999999"/>
    <x v="48"/>
    <d v="1899-12-30T10:39:00"/>
    <x v="2"/>
    <n v="231.12"/>
    <n v="4.7619047620000003"/>
    <n v="11.555999999999999"/>
    <n v="7.2"/>
  </r>
  <r>
    <x v="191"/>
    <x v="2"/>
    <x v="2"/>
    <x v="1"/>
    <x v="0"/>
    <x v="5"/>
    <x v="189"/>
    <n v="2"/>
    <n v="7.3520000000000003"/>
    <n v="154.392"/>
    <x v="15"/>
    <d v="1899-12-30T13:41:00"/>
    <x v="0"/>
    <n v="147.04"/>
    <n v="4.7619047620000003"/>
    <n v="7.3520000000000003"/>
    <n v="4.5999999999999996"/>
  </r>
  <r>
    <x v="192"/>
    <x v="1"/>
    <x v="1"/>
    <x v="1"/>
    <x v="0"/>
    <x v="4"/>
    <x v="190"/>
    <n v="9"/>
    <n v="39.51"/>
    <n v="829.71"/>
    <x v="32"/>
    <d v="1899-12-30T19:08:00"/>
    <x v="1"/>
    <n v="790.2"/>
    <n v="4.7619047620000003"/>
    <n v="39.51"/>
    <n v="9.1999999999999993"/>
  </r>
  <r>
    <x v="193"/>
    <x v="2"/>
    <x v="2"/>
    <x v="1"/>
    <x v="1"/>
    <x v="2"/>
    <x v="191"/>
    <n v="4"/>
    <n v="5.1100000000000003"/>
    <n v="107.31"/>
    <x v="53"/>
    <d v="1899-12-30T20:23:00"/>
    <x v="0"/>
    <n v="102.2"/>
    <n v="4.7619047620000003"/>
    <n v="5.1100000000000003"/>
    <n v="5.7"/>
  </r>
  <r>
    <x v="194"/>
    <x v="0"/>
    <x v="0"/>
    <x v="1"/>
    <x v="1"/>
    <x v="1"/>
    <x v="192"/>
    <n v="5"/>
    <n v="8.1775000000000002"/>
    <n v="171.72749999999999"/>
    <x v="35"/>
    <d v="1899-12-30T11:30:00"/>
    <x v="2"/>
    <n v="163.55000000000001"/>
    <n v="4.7619047620000003"/>
    <n v="8.1775000000000002"/>
    <n v="9.9"/>
  </r>
  <r>
    <x v="195"/>
    <x v="1"/>
    <x v="1"/>
    <x v="0"/>
    <x v="0"/>
    <x v="5"/>
    <x v="193"/>
    <n v="1"/>
    <n v="3.7145000000000001"/>
    <n v="78.004499999999993"/>
    <x v="50"/>
    <d v="1899-12-30T19:30:00"/>
    <x v="1"/>
    <n v="74.290000000000006"/>
    <n v="4.7619047620000003"/>
    <n v="3.7145000000000001"/>
    <n v="5"/>
  </r>
  <r>
    <x v="196"/>
    <x v="1"/>
    <x v="1"/>
    <x v="0"/>
    <x v="1"/>
    <x v="0"/>
    <x v="194"/>
    <n v="2"/>
    <n v="4.37"/>
    <n v="91.77"/>
    <x v="58"/>
    <d v="1899-12-30T18:03:00"/>
    <x v="1"/>
    <n v="87.4"/>
    <n v="4.7619047620000003"/>
    <n v="4.37"/>
    <n v="4.9000000000000004"/>
  </r>
  <r>
    <x v="197"/>
    <x v="0"/>
    <x v="0"/>
    <x v="1"/>
    <x v="0"/>
    <x v="2"/>
    <x v="195"/>
    <n v="1"/>
    <n v="1.2645"/>
    <n v="26.554500000000001"/>
    <x v="28"/>
    <d v="1899-12-30T10:13:00"/>
    <x v="0"/>
    <n v="25.29"/>
    <n v="4.7619047620000003"/>
    <n v="1.2645"/>
    <n v="6.1"/>
  </r>
  <r>
    <x v="198"/>
    <x v="1"/>
    <x v="1"/>
    <x v="1"/>
    <x v="1"/>
    <x v="0"/>
    <x v="196"/>
    <n v="4"/>
    <n v="8.3000000000000007"/>
    <n v="174.3"/>
    <x v="41"/>
    <d v="1899-12-30T19:58:00"/>
    <x v="2"/>
    <n v="166"/>
    <n v="4.7619047620000003"/>
    <n v="8.3000000000000007"/>
    <n v="8.1999999999999993"/>
  </r>
  <r>
    <x v="199"/>
    <x v="1"/>
    <x v="1"/>
    <x v="0"/>
    <x v="0"/>
    <x v="4"/>
    <x v="197"/>
    <n v="5"/>
    <n v="17.8475"/>
    <n v="374.79750000000001"/>
    <x v="21"/>
    <d v="1899-12-30T19:57:00"/>
    <x v="2"/>
    <n v="356.95"/>
    <n v="4.7619047620000003"/>
    <n v="17.8475"/>
    <n v="5.5"/>
  </r>
  <r>
    <x v="200"/>
    <x v="1"/>
    <x v="1"/>
    <x v="0"/>
    <x v="0"/>
    <x v="3"/>
    <x v="198"/>
    <n v="6"/>
    <n v="5.7450000000000001"/>
    <n v="120.645"/>
    <x v="71"/>
    <d v="1899-12-30T10:01:00"/>
    <x v="2"/>
    <n v="114.9"/>
    <n v="4.7619047620000003"/>
    <n v="5.7450000000000001"/>
    <n v="6.8"/>
  </r>
  <r>
    <x v="201"/>
    <x v="2"/>
    <x v="2"/>
    <x v="0"/>
    <x v="0"/>
    <x v="1"/>
    <x v="199"/>
    <n v="4"/>
    <n v="11.497999999999999"/>
    <n v="241.458"/>
    <x v="20"/>
    <d v="1899-12-30T11:57:00"/>
    <x v="1"/>
    <n v="229.96"/>
    <n v="4.7619047620000003"/>
    <n v="11.497999999999999"/>
    <n v="6.6"/>
  </r>
  <r>
    <x v="202"/>
    <x v="1"/>
    <x v="1"/>
    <x v="1"/>
    <x v="1"/>
    <x v="1"/>
    <x v="200"/>
    <n v="7"/>
    <n v="21.493500000000001"/>
    <n v="451.36349999999999"/>
    <x v="78"/>
    <d v="1899-12-30T10:02:00"/>
    <x v="1"/>
    <n v="429.87"/>
    <n v="4.7619047620000003"/>
    <n v="21.493500000000001"/>
    <n v="9.8000000000000007"/>
  </r>
  <r>
    <x v="203"/>
    <x v="2"/>
    <x v="2"/>
    <x v="0"/>
    <x v="1"/>
    <x v="0"/>
    <x v="201"/>
    <n v="10"/>
    <n v="12.95"/>
    <n v="271.95"/>
    <x v="10"/>
    <d v="1899-12-30T14:51:00"/>
    <x v="0"/>
    <n v="259"/>
    <n v="4.7619047620000003"/>
    <n v="12.95"/>
    <n v="8.6999999999999993"/>
  </r>
  <r>
    <x v="204"/>
    <x v="2"/>
    <x v="2"/>
    <x v="0"/>
    <x v="1"/>
    <x v="2"/>
    <x v="202"/>
    <n v="5"/>
    <n v="4.4424999999999999"/>
    <n v="93.292500000000004"/>
    <x v="42"/>
    <d v="1899-12-30T12:42:00"/>
    <x v="2"/>
    <n v="88.85"/>
    <n v="4.7619047620000003"/>
    <n v="4.4424999999999999"/>
    <n v="5.4"/>
  </r>
  <r>
    <x v="205"/>
    <x v="0"/>
    <x v="0"/>
    <x v="1"/>
    <x v="0"/>
    <x v="0"/>
    <x v="203"/>
    <n v="9"/>
    <n v="10.3635"/>
    <n v="217.6335"/>
    <x v="75"/>
    <d v="1899-12-30T12:02:00"/>
    <x v="0"/>
    <n v="207.27"/>
    <n v="4.7619047620000003"/>
    <n v="10.3635"/>
    <n v="7.9"/>
  </r>
  <r>
    <x v="206"/>
    <x v="1"/>
    <x v="1"/>
    <x v="0"/>
    <x v="0"/>
    <x v="1"/>
    <x v="204"/>
    <n v="9"/>
    <n v="29.9925"/>
    <n v="629.84249999999997"/>
    <x v="72"/>
    <d v="1899-12-30T18:19:00"/>
    <x v="2"/>
    <n v="599.85"/>
    <n v="4.7619047620000003"/>
    <n v="29.9925"/>
    <n v="9.6999999999999993"/>
  </r>
  <r>
    <x v="207"/>
    <x v="1"/>
    <x v="1"/>
    <x v="0"/>
    <x v="0"/>
    <x v="2"/>
    <x v="205"/>
    <n v="10"/>
    <n v="14.265000000000001"/>
    <n v="299.565"/>
    <x v="79"/>
    <d v="1899-12-30T17:38:00"/>
    <x v="0"/>
    <n v="285.3"/>
    <n v="4.7619047620000003"/>
    <n v="14.265000000000001"/>
    <n v="7.8"/>
  </r>
  <r>
    <x v="208"/>
    <x v="2"/>
    <x v="2"/>
    <x v="1"/>
    <x v="0"/>
    <x v="5"/>
    <x v="206"/>
    <n v="3"/>
    <n v="4.5555000000000003"/>
    <n v="95.665499999999994"/>
    <x v="61"/>
    <d v="1899-12-30T13:41:00"/>
    <x v="0"/>
    <n v="91.11"/>
    <n v="4.7619047620000003"/>
    <n v="4.5555000000000003"/>
    <n v="5.0999999999999996"/>
  </r>
  <r>
    <x v="209"/>
    <x v="2"/>
    <x v="2"/>
    <x v="1"/>
    <x v="0"/>
    <x v="1"/>
    <x v="207"/>
    <n v="9"/>
    <n v="44.878500000000003"/>
    <n v="942.44849999999997"/>
    <x v="22"/>
    <d v="1899-12-30T19:42:00"/>
    <x v="2"/>
    <n v="897.57"/>
    <n v="4.7619047620000003"/>
    <n v="44.878500000000003"/>
    <n v="6.5"/>
  </r>
  <r>
    <x v="210"/>
    <x v="0"/>
    <x v="0"/>
    <x v="1"/>
    <x v="1"/>
    <x v="1"/>
    <x v="208"/>
    <n v="9"/>
    <n v="11.8035"/>
    <n v="247.87350000000001"/>
    <x v="25"/>
    <d v="1899-12-30T20:24:00"/>
    <x v="0"/>
    <n v="236.07"/>
    <n v="4.7619047620000003"/>
    <n v="11.8035"/>
    <n v="5.9"/>
  </r>
  <r>
    <x v="211"/>
    <x v="1"/>
    <x v="1"/>
    <x v="1"/>
    <x v="0"/>
    <x v="4"/>
    <x v="209"/>
    <n v="9"/>
    <n v="41.966999999999999"/>
    <n v="881.30700000000002"/>
    <x v="65"/>
    <d v="1899-12-30T18:08:00"/>
    <x v="1"/>
    <n v="839.34"/>
    <n v="4.7619047620000003"/>
    <n v="41.966999999999999"/>
    <n v="8.8000000000000007"/>
  </r>
  <r>
    <x v="212"/>
    <x v="2"/>
    <x v="2"/>
    <x v="1"/>
    <x v="1"/>
    <x v="2"/>
    <x v="210"/>
    <n v="5"/>
    <n v="23.09"/>
    <n v="484.89"/>
    <x v="80"/>
    <d v="1899-12-30T19:17:00"/>
    <x v="0"/>
    <n v="461.8"/>
    <n v="4.7619047620000003"/>
    <n v="23.09"/>
    <n v="4.9000000000000004"/>
  </r>
  <r>
    <x v="213"/>
    <x v="2"/>
    <x v="2"/>
    <x v="1"/>
    <x v="1"/>
    <x v="3"/>
    <x v="211"/>
    <n v="3"/>
    <n v="6.9630000000000001"/>
    <n v="146.22300000000001"/>
    <x v="72"/>
    <d v="1899-12-30T13:24:00"/>
    <x v="2"/>
    <n v="139.26"/>
    <n v="4.7619047620000003"/>
    <n v="6.9630000000000001"/>
    <n v="4.4000000000000004"/>
  </r>
  <r>
    <x v="214"/>
    <x v="2"/>
    <x v="2"/>
    <x v="0"/>
    <x v="0"/>
    <x v="3"/>
    <x v="212"/>
    <n v="7"/>
    <n v="10.3635"/>
    <n v="217.6335"/>
    <x v="16"/>
    <d v="1899-12-30T15:53:00"/>
    <x v="1"/>
    <n v="207.27"/>
    <n v="4.7619047620000003"/>
    <n v="10.3635"/>
    <n v="6.5"/>
  </r>
  <r>
    <x v="215"/>
    <x v="0"/>
    <x v="0"/>
    <x v="1"/>
    <x v="1"/>
    <x v="2"/>
    <x v="213"/>
    <n v="1"/>
    <n v="0.91400000000000003"/>
    <n v="19.193999999999999"/>
    <x v="23"/>
    <d v="1899-12-30T15:05:00"/>
    <x v="2"/>
    <n v="18.28"/>
    <n v="4.7619047620000003"/>
    <n v="0.91400000000000003"/>
    <n v="8.3000000000000007"/>
  </r>
  <r>
    <x v="216"/>
    <x v="2"/>
    <x v="2"/>
    <x v="1"/>
    <x v="0"/>
    <x v="3"/>
    <x v="214"/>
    <n v="5"/>
    <n v="6.1924999999999999"/>
    <n v="130.04249999999999"/>
    <x v="62"/>
    <d v="1899-12-30T18:27:00"/>
    <x v="1"/>
    <n v="123.85"/>
    <n v="4.7619047620000003"/>
    <n v="6.1924999999999999"/>
    <n v="8.5"/>
  </r>
  <r>
    <x v="217"/>
    <x v="0"/>
    <x v="0"/>
    <x v="0"/>
    <x v="0"/>
    <x v="1"/>
    <x v="215"/>
    <n v="3"/>
    <n v="14.196"/>
    <n v="298.11599999999999"/>
    <x v="81"/>
    <d v="1899-12-30T16:55:00"/>
    <x v="1"/>
    <n v="283.92"/>
    <n v="4.7619047620000003"/>
    <n v="14.196"/>
    <n v="5.5"/>
  </r>
  <r>
    <x v="218"/>
    <x v="2"/>
    <x v="2"/>
    <x v="1"/>
    <x v="1"/>
    <x v="5"/>
    <x v="216"/>
    <n v="8"/>
    <n v="37.948"/>
    <n v="796.90800000000002"/>
    <x v="12"/>
    <d v="1899-12-30T12:58:00"/>
    <x v="0"/>
    <n v="758.96"/>
    <n v="4.7619047620000003"/>
    <n v="37.948"/>
    <n v="8.6999999999999993"/>
  </r>
  <r>
    <x v="219"/>
    <x v="2"/>
    <x v="2"/>
    <x v="1"/>
    <x v="0"/>
    <x v="4"/>
    <x v="217"/>
    <n v="3"/>
    <n v="8.6010000000000009"/>
    <n v="180.62100000000001"/>
    <x v="24"/>
    <d v="1899-12-30T18:59:00"/>
    <x v="2"/>
    <n v="172.02"/>
    <n v="4.7619047620000003"/>
    <n v="8.6010000000000009"/>
    <n v="7.9"/>
  </r>
  <r>
    <x v="220"/>
    <x v="2"/>
    <x v="2"/>
    <x v="1"/>
    <x v="1"/>
    <x v="1"/>
    <x v="218"/>
    <n v="6"/>
    <n v="13.605"/>
    <n v="285.70499999999998"/>
    <x v="82"/>
    <d v="1899-12-30T13:44:00"/>
    <x v="0"/>
    <n v="272.10000000000002"/>
    <n v="4.7619047620000003"/>
    <n v="13.605"/>
    <n v="6.1"/>
  </r>
  <r>
    <x v="221"/>
    <x v="2"/>
    <x v="2"/>
    <x v="1"/>
    <x v="1"/>
    <x v="4"/>
    <x v="219"/>
    <n v="7"/>
    <n v="21.728000000000002"/>
    <n v="456.28800000000001"/>
    <x v="43"/>
    <d v="1899-12-30T13:46:00"/>
    <x v="0"/>
    <n v="434.56"/>
    <n v="4.7619047620000003"/>
    <n v="21.728000000000002"/>
    <n v="5.4"/>
  </r>
  <r>
    <x v="222"/>
    <x v="1"/>
    <x v="1"/>
    <x v="1"/>
    <x v="1"/>
    <x v="1"/>
    <x v="220"/>
    <n v="5"/>
    <n v="2.9525000000000001"/>
    <n v="62.002499999999998"/>
    <x v="21"/>
    <d v="1899-12-30T18:06:00"/>
    <x v="1"/>
    <n v="59.05"/>
    <n v="4.7619047620000003"/>
    <n v="2.9525000000000001"/>
    <n v="9.4"/>
  </r>
  <r>
    <x v="223"/>
    <x v="1"/>
    <x v="1"/>
    <x v="0"/>
    <x v="0"/>
    <x v="5"/>
    <x v="221"/>
    <n v="1"/>
    <n v="0.627"/>
    <n v="13.167"/>
    <x v="81"/>
    <d v="1899-12-30T12:38:00"/>
    <x v="1"/>
    <n v="12.54"/>
    <n v="4.7619047620000003"/>
    <n v="0.627"/>
    <n v="8.1999999999999993"/>
  </r>
  <r>
    <x v="224"/>
    <x v="0"/>
    <x v="0"/>
    <x v="1"/>
    <x v="1"/>
    <x v="4"/>
    <x v="222"/>
    <n v="2"/>
    <n v="4.3250000000000002"/>
    <n v="90.825000000000003"/>
    <x v="80"/>
    <d v="1899-12-30T15:56:00"/>
    <x v="1"/>
    <n v="86.5"/>
    <n v="4.7619047620000003"/>
    <n v="4.3250000000000002"/>
    <n v="6.2"/>
  </r>
  <r>
    <x v="225"/>
    <x v="1"/>
    <x v="1"/>
    <x v="0"/>
    <x v="0"/>
    <x v="3"/>
    <x v="223"/>
    <n v="2"/>
    <n v="8.7159999999999993"/>
    <n v="183.036"/>
    <x v="83"/>
    <d v="1899-12-30T14:29:00"/>
    <x v="2"/>
    <n v="174.32"/>
    <n v="4.7619047620000003"/>
    <n v="8.7159999999999993"/>
    <n v="9.6999999999999993"/>
  </r>
  <r>
    <x v="226"/>
    <x v="2"/>
    <x v="2"/>
    <x v="0"/>
    <x v="1"/>
    <x v="0"/>
    <x v="224"/>
    <n v="9"/>
    <n v="31.2165"/>
    <n v="655.54650000000004"/>
    <x v="53"/>
    <d v="1899-12-30T19:14:00"/>
    <x v="0"/>
    <n v="624.33000000000004"/>
    <n v="4.7619047620000003"/>
    <n v="31.2165"/>
    <n v="4"/>
  </r>
  <r>
    <x v="227"/>
    <x v="1"/>
    <x v="1"/>
    <x v="0"/>
    <x v="1"/>
    <x v="1"/>
    <x v="225"/>
    <n v="4"/>
    <n v="7.4119999999999999"/>
    <n v="155.65199999999999"/>
    <x v="82"/>
    <d v="1899-12-30T16:24:00"/>
    <x v="0"/>
    <n v="148.24"/>
    <n v="4.7619047620000003"/>
    <n v="7.4119999999999999"/>
    <n v="9.6999999999999993"/>
  </r>
  <r>
    <x v="228"/>
    <x v="2"/>
    <x v="2"/>
    <x v="0"/>
    <x v="0"/>
    <x v="1"/>
    <x v="226"/>
    <n v="6"/>
    <n v="27.21"/>
    <n v="571.41"/>
    <x v="84"/>
    <d v="1899-12-30T10:52:00"/>
    <x v="1"/>
    <n v="544.20000000000005"/>
    <n v="4.7619047620000003"/>
    <n v="27.21"/>
    <n v="5.3"/>
  </r>
  <r>
    <x v="229"/>
    <x v="0"/>
    <x v="0"/>
    <x v="1"/>
    <x v="0"/>
    <x v="2"/>
    <x v="227"/>
    <n v="8"/>
    <n v="25.367999999999999"/>
    <n v="532.72799999999995"/>
    <x v="16"/>
    <d v="1899-12-30T12:55:00"/>
    <x v="0"/>
    <n v="507.36"/>
    <n v="4.7619047620000003"/>
    <n v="25.367999999999999"/>
    <n v="7.4"/>
  </r>
  <r>
    <x v="230"/>
    <x v="2"/>
    <x v="2"/>
    <x v="1"/>
    <x v="0"/>
    <x v="5"/>
    <x v="228"/>
    <n v="2"/>
    <n v="8.1370000000000005"/>
    <n v="170.87700000000001"/>
    <x v="53"/>
    <d v="1899-12-30T19:28:00"/>
    <x v="1"/>
    <n v="162.74"/>
    <n v="4.7619047620000003"/>
    <n v="8.1370000000000005"/>
    <n v="6.5"/>
  </r>
  <r>
    <x v="231"/>
    <x v="2"/>
    <x v="2"/>
    <x v="0"/>
    <x v="0"/>
    <x v="1"/>
    <x v="229"/>
    <n v="3"/>
    <n v="1.5885"/>
    <n v="33.358499999999999"/>
    <x v="41"/>
    <d v="1899-12-30T13:52:00"/>
    <x v="2"/>
    <n v="31.77"/>
    <n v="4.7619047620000003"/>
    <n v="1.5885"/>
    <n v="8.6999999999999993"/>
  </r>
  <r>
    <x v="232"/>
    <x v="2"/>
    <x v="2"/>
    <x v="1"/>
    <x v="0"/>
    <x v="0"/>
    <x v="230"/>
    <n v="9"/>
    <n v="37.840499999999999"/>
    <n v="794.65049999999997"/>
    <x v="48"/>
    <d v="1899-12-30T10:54:00"/>
    <x v="1"/>
    <n v="756.81"/>
    <n v="4.7619047620000003"/>
    <n v="37.840499999999999"/>
    <n v="8"/>
  </r>
  <r>
    <x v="233"/>
    <x v="2"/>
    <x v="2"/>
    <x v="0"/>
    <x v="1"/>
    <x v="5"/>
    <x v="231"/>
    <n v="4"/>
    <n v="14.763999999999999"/>
    <n v="310.04399999999998"/>
    <x v="81"/>
    <d v="1899-12-30T18:31:00"/>
    <x v="1"/>
    <n v="295.27999999999997"/>
    <n v="4.7619047620000003"/>
    <n v="14.763999999999999"/>
    <n v="6.7"/>
  </r>
  <r>
    <x v="234"/>
    <x v="0"/>
    <x v="0"/>
    <x v="0"/>
    <x v="1"/>
    <x v="0"/>
    <x v="232"/>
    <n v="10"/>
    <n v="25.97"/>
    <n v="545.37"/>
    <x v="11"/>
    <d v="1899-12-30T18:24:00"/>
    <x v="0"/>
    <n v="519.4"/>
    <n v="4.7619047620000003"/>
    <n v="25.97"/>
    <n v="6.5"/>
  </r>
  <r>
    <x v="235"/>
    <x v="0"/>
    <x v="0"/>
    <x v="1"/>
    <x v="0"/>
    <x v="3"/>
    <x v="233"/>
    <n v="2"/>
    <n v="9.3140000000000001"/>
    <n v="195.59399999999999"/>
    <x v="40"/>
    <d v="1899-12-30T18:09:00"/>
    <x v="0"/>
    <n v="186.28"/>
    <n v="4.7619047620000003"/>
    <n v="9.3140000000000001"/>
    <n v="4.0999999999999996"/>
  </r>
  <r>
    <x v="236"/>
    <x v="1"/>
    <x v="1"/>
    <x v="1"/>
    <x v="1"/>
    <x v="0"/>
    <x v="234"/>
    <n v="5"/>
    <n v="4.3525"/>
    <n v="91.402500000000003"/>
    <x v="26"/>
    <d v="1899-12-30T15:16:00"/>
    <x v="2"/>
    <n v="87.05"/>
    <n v="4.7619047620000003"/>
    <n v="4.3525"/>
    <n v="4.9000000000000004"/>
  </r>
  <r>
    <x v="237"/>
    <x v="1"/>
    <x v="1"/>
    <x v="0"/>
    <x v="0"/>
    <x v="5"/>
    <x v="235"/>
    <n v="5"/>
    <n v="11.055"/>
    <n v="232.155"/>
    <x v="19"/>
    <d v="1899-12-30T17:07:00"/>
    <x v="2"/>
    <n v="221.1"/>
    <n v="4.7619047620000003"/>
    <n v="11.055"/>
    <n v="8.6"/>
  </r>
  <r>
    <x v="238"/>
    <x v="2"/>
    <x v="2"/>
    <x v="0"/>
    <x v="0"/>
    <x v="1"/>
    <x v="236"/>
    <n v="5"/>
    <n v="3.3050000000000002"/>
    <n v="69.405000000000001"/>
    <x v="22"/>
    <d v="1899-12-30T19:26:00"/>
    <x v="1"/>
    <n v="66.099999999999994"/>
    <n v="4.7619047620000003"/>
    <n v="3.3050000000000002"/>
    <n v="4.3"/>
  </r>
  <r>
    <x v="239"/>
    <x v="0"/>
    <x v="0"/>
    <x v="1"/>
    <x v="1"/>
    <x v="5"/>
    <x v="237"/>
    <n v="1"/>
    <n v="4.4844999999999997"/>
    <n v="94.174499999999995"/>
    <x v="83"/>
    <d v="1899-12-30T11:20:00"/>
    <x v="0"/>
    <n v="89.69"/>
    <n v="4.7619047620000003"/>
    <n v="4.4844999999999997"/>
    <n v="4.9000000000000004"/>
  </r>
  <r>
    <x v="240"/>
    <x v="0"/>
    <x v="0"/>
    <x v="1"/>
    <x v="1"/>
    <x v="4"/>
    <x v="238"/>
    <n v="9"/>
    <n v="11.223000000000001"/>
    <n v="235.68299999999999"/>
    <x v="83"/>
    <d v="1899-12-30T16:49:00"/>
    <x v="2"/>
    <n v="224.46"/>
    <n v="4.7619047620000003"/>
    <n v="11.223000000000001"/>
    <n v="5.6"/>
  </r>
  <r>
    <x v="241"/>
    <x v="0"/>
    <x v="0"/>
    <x v="1"/>
    <x v="1"/>
    <x v="0"/>
    <x v="239"/>
    <n v="2"/>
    <n v="5.9770000000000003"/>
    <n v="125.517"/>
    <x v="16"/>
    <d v="1899-12-30T12:01:00"/>
    <x v="2"/>
    <n v="119.54"/>
    <n v="4.7619047620000003"/>
    <n v="5.9770000000000003"/>
    <n v="5.8"/>
  </r>
  <r>
    <x v="242"/>
    <x v="1"/>
    <x v="1"/>
    <x v="0"/>
    <x v="1"/>
    <x v="5"/>
    <x v="240"/>
    <n v="2"/>
    <n v="9.32"/>
    <n v="195.72"/>
    <x v="38"/>
    <d v="1899-12-30T18:37:00"/>
    <x v="2"/>
    <n v="186.4"/>
    <n v="4.7619047620000003"/>
    <n v="9.32"/>
    <n v="6"/>
  </r>
  <r>
    <x v="243"/>
    <x v="0"/>
    <x v="0"/>
    <x v="0"/>
    <x v="1"/>
    <x v="2"/>
    <x v="241"/>
    <n v="4"/>
    <n v="12.53"/>
    <n v="263.13"/>
    <x v="0"/>
    <d v="1899-12-30T11:25:00"/>
    <x v="1"/>
    <n v="250.6"/>
    <n v="4.7619047620000003"/>
    <n v="12.53"/>
    <n v="4.2"/>
  </r>
  <r>
    <x v="244"/>
    <x v="2"/>
    <x v="2"/>
    <x v="1"/>
    <x v="1"/>
    <x v="2"/>
    <x v="242"/>
    <n v="8"/>
    <n v="37.548000000000002"/>
    <n v="788.50800000000004"/>
    <x v="30"/>
    <d v="1899-12-30T18:42:00"/>
    <x v="2"/>
    <n v="750.96"/>
    <n v="4.7619047620000003"/>
    <n v="37.548000000000002"/>
    <n v="8.3000000000000007"/>
  </r>
  <r>
    <x v="245"/>
    <x v="0"/>
    <x v="0"/>
    <x v="0"/>
    <x v="1"/>
    <x v="2"/>
    <x v="243"/>
    <n v="8"/>
    <n v="19.036000000000001"/>
    <n v="399.75599999999997"/>
    <x v="17"/>
    <d v="1899-12-30T14:47:00"/>
    <x v="1"/>
    <n v="380.72"/>
    <n v="4.7619047620000003"/>
    <n v="19.036000000000001"/>
    <n v="5.7"/>
  </r>
  <r>
    <x v="246"/>
    <x v="2"/>
    <x v="2"/>
    <x v="0"/>
    <x v="0"/>
    <x v="1"/>
    <x v="244"/>
    <n v="3"/>
    <n v="12.21"/>
    <n v="256.41000000000003"/>
    <x v="57"/>
    <d v="1899-12-30T19:43:00"/>
    <x v="1"/>
    <n v="244.2"/>
    <n v="4.7619047620000003"/>
    <n v="12.21"/>
    <n v="4.8"/>
  </r>
  <r>
    <x v="247"/>
    <x v="0"/>
    <x v="0"/>
    <x v="0"/>
    <x v="1"/>
    <x v="5"/>
    <x v="245"/>
    <n v="5"/>
    <n v="4.4850000000000003"/>
    <n v="94.185000000000002"/>
    <x v="54"/>
    <d v="1899-12-30T14:04:00"/>
    <x v="0"/>
    <n v="89.7"/>
    <n v="4.7619047620000003"/>
    <n v="4.4850000000000003"/>
    <n v="6.8"/>
  </r>
  <r>
    <x v="248"/>
    <x v="0"/>
    <x v="0"/>
    <x v="0"/>
    <x v="1"/>
    <x v="1"/>
    <x v="246"/>
    <n v="4"/>
    <n v="15.544"/>
    <n v="326.42399999999998"/>
    <x v="27"/>
    <d v="1899-12-30T16:11:00"/>
    <x v="2"/>
    <n v="310.88"/>
    <n v="4.7619047620000003"/>
    <n v="15.544"/>
    <n v="8.8000000000000007"/>
  </r>
  <r>
    <x v="249"/>
    <x v="2"/>
    <x v="2"/>
    <x v="1"/>
    <x v="1"/>
    <x v="4"/>
    <x v="247"/>
    <n v="7"/>
    <n v="25.571000000000002"/>
    <n v="536.99099999999999"/>
    <x v="78"/>
    <d v="1899-12-30T19:06:00"/>
    <x v="2"/>
    <n v="511.42"/>
    <n v="4.7619047620000003"/>
    <n v="25.571000000000002"/>
    <n v="4.2"/>
  </r>
  <r>
    <x v="250"/>
    <x v="2"/>
    <x v="2"/>
    <x v="0"/>
    <x v="1"/>
    <x v="4"/>
    <x v="248"/>
    <n v="9"/>
    <n v="20.947500000000002"/>
    <n v="439.89749999999998"/>
    <x v="30"/>
    <d v="1899-12-30T15:34:00"/>
    <x v="0"/>
    <n v="418.95"/>
    <n v="4.7619047620000003"/>
    <n v="20.947500000000002"/>
    <n v="6.4"/>
  </r>
  <r>
    <x v="251"/>
    <x v="1"/>
    <x v="1"/>
    <x v="0"/>
    <x v="1"/>
    <x v="5"/>
    <x v="249"/>
    <n v="10"/>
    <n v="17.594999999999999"/>
    <n v="369.495"/>
    <x v="85"/>
    <d v="1899-12-30T19:06:00"/>
    <x v="2"/>
    <n v="351.9"/>
    <n v="4.7619047620000003"/>
    <n v="17.594999999999999"/>
    <n v="8.4"/>
  </r>
  <r>
    <x v="252"/>
    <x v="1"/>
    <x v="1"/>
    <x v="1"/>
    <x v="0"/>
    <x v="3"/>
    <x v="250"/>
    <n v="2"/>
    <n v="1.4390000000000001"/>
    <n v="30.219000000000001"/>
    <x v="22"/>
    <d v="1899-12-30T19:44:00"/>
    <x v="2"/>
    <n v="28.78"/>
    <n v="4.7619047620000003"/>
    <n v="1.4390000000000001"/>
    <n v="7.2"/>
  </r>
  <r>
    <x v="253"/>
    <x v="0"/>
    <x v="0"/>
    <x v="1"/>
    <x v="1"/>
    <x v="2"/>
    <x v="251"/>
    <n v="4"/>
    <n v="4.75"/>
    <n v="99.75"/>
    <x v="32"/>
    <d v="1899-12-30T11:22:00"/>
    <x v="1"/>
    <n v="95"/>
    <n v="4.7619047620000003"/>
    <n v="4.75"/>
    <n v="5.2"/>
  </r>
  <r>
    <x v="254"/>
    <x v="0"/>
    <x v="0"/>
    <x v="0"/>
    <x v="1"/>
    <x v="2"/>
    <x v="252"/>
    <n v="8"/>
    <n v="23.56"/>
    <n v="494.76"/>
    <x v="47"/>
    <d v="1899-12-30T11:23:00"/>
    <x v="1"/>
    <n v="471.2"/>
    <n v="4.7619047620000003"/>
    <n v="23.56"/>
    <n v="8.9"/>
  </r>
  <r>
    <x v="255"/>
    <x v="2"/>
    <x v="2"/>
    <x v="0"/>
    <x v="1"/>
    <x v="5"/>
    <x v="253"/>
    <n v="4"/>
    <n v="6.524"/>
    <n v="137.00399999999999"/>
    <x v="71"/>
    <d v="1899-12-30T14:12:00"/>
    <x v="1"/>
    <n v="130.47999999999999"/>
    <n v="4.7619047620000003"/>
    <n v="6.524"/>
    <n v="9"/>
  </r>
  <r>
    <x v="256"/>
    <x v="0"/>
    <x v="0"/>
    <x v="0"/>
    <x v="1"/>
    <x v="1"/>
    <x v="254"/>
    <n v="1"/>
    <n v="3.3174999999999999"/>
    <n v="69.667500000000004"/>
    <x v="82"/>
    <d v="1899-12-30T10:46:00"/>
    <x v="2"/>
    <n v="66.349999999999994"/>
    <n v="4.7619047620000003"/>
    <n v="3.3174999999999999"/>
    <n v="9.6999999999999993"/>
  </r>
  <r>
    <x v="257"/>
    <x v="0"/>
    <x v="0"/>
    <x v="0"/>
    <x v="1"/>
    <x v="2"/>
    <x v="255"/>
    <n v="6"/>
    <n v="7.7729999999999997"/>
    <n v="163.233"/>
    <x v="63"/>
    <d v="1899-12-30T10:16:00"/>
    <x v="0"/>
    <n v="155.46"/>
    <n v="4.7619047620000003"/>
    <n v="7.7729999999999997"/>
    <n v="8.6999999999999993"/>
  </r>
  <r>
    <x v="258"/>
    <x v="0"/>
    <x v="0"/>
    <x v="0"/>
    <x v="1"/>
    <x v="1"/>
    <x v="125"/>
    <n v="4"/>
    <n v="6.45"/>
    <n v="135.44999999999999"/>
    <x v="77"/>
    <d v="1899-12-30T12:38:00"/>
    <x v="0"/>
    <n v="129"/>
    <n v="4.7619047620000003"/>
    <n v="6.45"/>
    <n v="6.5"/>
  </r>
  <r>
    <x v="259"/>
    <x v="1"/>
    <x v="1"/>
    <x v="0"/>
    <x v="1"/>
    <x v="1"/>
    <x v="256"/>
    <n v="4"/>
    <n v="13.188000000000001"/>
    <n v="276.94799999999998"/>
    <x v="13"/>
    <d v="1899-12-30T13:05:00"/>
    <x v="2"/>
    <n v="263.76"/>
    <n v="4.7619047620000003"/>
    <n v="13.188000000000001"/>
    <n v="6.9"/>
  </r>
  <r>
    <x v="260"/>
    <x v="0"/>
    <x v="0"/>
    <x v="1"/>
    <x v="0"/>
    <x v="1"/>
    <x v="257"/>
    <n v="9"/>
    <n v="33.777000000000001"/>
    <n v="709.31700000000001"/>
    <x v="35"/>
    <d v="1899-12-30T13:25:00"/>
    <x v="0"/>
    <n v="675.54"/>
    <n v="4.7619047620000003"/>
    <n v="33.777000000000001"/>
    <n v="6.2"/>
  </r>
  <r>
    <x v="261"/>
    <x v="1"/>
    <x v="1"/>
    <x v="1"/>
    <x v="0"/>
    <x v="5"/>
    <x v="258"/>
    <n v="4"/>
    <n v="3.29"/>
    <n v="69.09"/>
    <x v="37"/>
    <d v="1899-12-30T14:53:00"/>
    <x v="0"/>
    <n v="65.8"/>
    <n v="4.7619047620000003"/>
    <n v="3.29"/>
    <n v="5.6"/>
  </r>
  <r>
    <x v="262"/>
    <x v="2"/>
    <x v="2"/>
    <x v="0"/>
    <x v="0"/>
    <x v="5"/>
    <x v="259"/>
    <n v="4"/>
    <n v="7.66"/>
    <n v="160.86000000000001"/>
    <x v="45"/>
    <d v="1899-12-30T19:22:00"/>
    <x v="1"/>
    <n v="153.19999999999999"/>
    <n v="4.7619047620000003"/>
    <n v="7.66"/>
    <n v="5.7"/>
  </r>
  <r>
    <x v="263"/>
    <x v="0"/>
    <x v="0"/>
    <x v="0"/>
    <x v="0"/>
    <x v="3"/>
    <x v="260"/>
    <n v="10"/>
    <n v="11.12"/>
    <n v="233.52"/>
    <x v="57"/>
    <d v="1899-12-30T11:00:00"/>
    <x v="1"/>
    <n v="222.4"/>
    <n v="4.7619047620000003"/>
    <n v="11.12"/>
    <n v="4.2"/>
  </r>
  <r>
    <x v="264"/>
    <x v="2"/>
    <x v="2"/>
    <x v="1"/>
    <x v="1"/>
    <x v="3"/>
    <x v="261"/>
    <n v="1"/>
    <n v="2.7225000000000001"/>
    <n v="57.172499999999999"/>
    <x v="84"/>
    <d v="1899-12-30T19:24:00"/>
    <x v="0"/>
    <n v="54.45"/>
    <n v="4.7619047620000003"/>
    <n v="2.7225000000000001"/>
    <n v="7.9"/>
  </r>
  <r>
    <x v="265"/>
    <x v="0"/>
    <x v="0"/>
    <x v="0"/>
    <x v="0"/>
    <x v="3"/>
    <x v="262"/>
    <n v="7"/>
    <n v="34.44"/>
    <n v="723.24"/>
    <x v="41"/>
    <d v="1899-12-30T12:43:00"/>
    <x v="2"/>
    <n v="688.8"/>
    <n v="4.7619047620000003"/>
    <n v="34.44"/>
    <n v="8.6999999999999993"/>
  </r>
  <r>
    <x v="266"/>
    <x v="1"/>
    <x v="1"/>
    <x v="1"/>
    <x v="1"/>
    <x v="2"/>
    <x v="263"/>
    <n v="4"/>
    <n v="7.0940000000000003"/>
    <n v="148.97399999999999"/>
    <x v="86"/>
    <d v="1899-12-30T17:22:00"/>
    <x v="2"/>
    <n v="141.88"/>
    <n v="4.7619047620000003"/>
    <n v="7.0940000000000003"/>
    <n v="6.9"/>
  </r>
  <r>
    <x v="267"/>
    <x v="2"/>
    <x v="2"/>
    <x v="0"/>
    <x v="0"/>
    <x v="4"/>
    <x v="264"/>
    <n v="10"/>
    <n v="37.299999999999997"/>
    <n v="783.3"/>
    <x v="66"/>
    <d v="1899-12-30T20:55:00"/>
    <x v="1"/>
    <n v="746"/>
    <n v="4.7619047620000003"/>
    <n v="37.299999999999997"/>
    <n v="9.5"/>
  </r>
  <r>
    <x v="268"/>
    <x v="0"/>
    <x v="0"/>
    <x v="0"/>
    <x v="1"/>
    <x v="2"/>
    <x v="265"/>
    <n v="4"/>
    <n v="14.148"/>
    <n v="297.108"/>
    <x v="0"/>
    <d v="1899-12-30T16:05:00"/>
    <x v="2"/>
    <n v="282.95999999999998"/>
    <n v="4.7619047620000003"/>
    <n v="14.148"/>
    <n v="4.4000000000000004"/>
  </r>
  <r>
    <x v="269"/>
    <x v="0"/>
    <x v="0"/>
    <x v="0"/>
    <x v="0"/>
    <x v="2"/>
    <x v="266"/>
    <n v="10"/>
    <n v="17.77"/>
    <n v="373.17"/>
    <x v="72"/>
    <d v="1899-12-30T13:34:00"/>
    <x v="0"/>
    <n v="355.4"/>
    <n v="4.7619047620000003"/>
    <n v="17.77"/>
    <n v="7"/>
  </r>
  <r>
    <x v="270"/>
    <x v="2"/>
    <x v="2"/>
    <x v="1"/>
    <x v="0"/>
    <x v="3"/>
    <x v="267"/>
    <n v="5"/>
    <n v="16.857500000000002"/>
    <n v="354.00749999999999"/>
    <x v="43"/>
    <d v="1899-12-30T18:13:00"/>
    <x v="0"/>
    <n v="337.15"/>
    <n v="4.7619047620000003"/>
    <n v="16.857500000000002"/>
    <n v="6.3"/>
  </r>
  <r>
    <x v="271"/>
    <x v="1"/>
    <x v="1"/>
    <x v="0"/>
    <x v="0"/>
    <x v="0"/>
    <x v="268"/>
    <n v="2"/>
    <n v="2.1120000000000001"/>
    <n v="44.351999999999997"/>
    <x v="75"/>
    <d v="1899-12-30T19:17:00"/>
    <x v="1"/>
    <n v="42.24"/>
    <n v="4.7619047620000003"/>
    <n v="2.1120000000000001"/>
    <n v="9.6999999999999993"/>
  </r>
  <r>
    <x v="272"/>
    <x v="0"/>
    <x v="0"/>
    <x v="0"/>
    <x v="0"/>
    <x v="2"/>
    <x v="269"/>
    <n v="9"/>
    <n v="9.6929999999999996"/>
    <n v="203.553"/>
    <x v="27"/>
    <d v="1899-12-30T11:44:00"/>
    <x v="2"/>
    <n v="193.86"/>
    <n v="4.7619047620000003"/>
    <n v="9.6929999999999996"/>
    <n v="8.8000000000000007"/>
  </r>
  <r>
    <x v="273"/>
    <x v="0"/>
    <x v="0"/>
    <x v="1"/>
    <x v="0"/>
    <x v="2"/>
    <x v="270"/>
    <n v="2"/>
    <n v="1.2030000000000001"/>
    <n v="25.263000000000002"/>
    <x v="3"/>
    <d v="1899-12-30T15:51:00"/>
    <x v="1"/>
    <n v="24.06"/>
    <n v="4.7619047620000003"/>
    <n v="1.2030000000000001"/>
    <n v="5.0999999999999996"/>
  </r>
  <r>
    <x v="274"/>
    <x v="2"/>
    <x v="2"/>
    <x v="1"/>
    <x v="0"/>
    <x v="0"/>
    <x v="271"/>
    <n v="6"/>
    <n v="29.913"/>
    <n v="628.173"/>
    <x v="84"/>
    <d v="1899-12-30T16:52:00"/>
    <x v="0"/>
    <n v="598.26"/>
    <n v="4.7619047620000003"/>
    <n v="29.913"/>
    <n v="7.9"/>
  </r>
  <r>
    <x v="275"/>
    <x v="2"/>
    <x v="2"/>
    <x v="1"/>
    <x v="1"/>
    <x v="5"/>
    <x v="272"/>
    <n v="7"/>
    <n v="16.7895"/>
    <n v="352.5795"/>
    <x v="27"/>
    <d v="1899-12-30T20:52:00"/>
    <x v="1"/>
    <n v="335.79"/>
    <n v="4.7619047620000003"/>
    <n v="16.7895"/>
    <n v="6.2"/>
  </r>
  <r>
    <x v="276"/>
    <x v="1"/>
    <x v="1"/>
    <x v="0"/>
    <x v="0"/>
    <x v="2"/>
    <x v="273"/>
    <n v="10"/>
    <n v="10.91"/>
    <n v="229.11"/>
    <x v="27"/>
    <d v="1899-12-30T17:36:00"/>
    <x v="1"/>
    <n v="218.2"/>
    <n v="4.7619047620000003"/>
    <n v="10.91"/>
    <n v="7.1"/>
  </r>
  <r>
    <x v="277"/>
    <x v="1"/>
    <x v="1"/>
    <x v="1"/>
    <x v="0"/>
    <x v="5"/>
    <x v="274"/>
    <n v="4"/>
    <n v="19.084"/>
    <n v="400.76400000000001"/>
    <x v="30"/>
    <d v="1899-12-30T13:23:00"/>
    <x v="0"/>
    <n v="381.68"/>
    <n v="4.7619047620000003"/>
    <n v="19.084"/>
    <n v="6.4"/>
  </r>
  <r>
    <x v="278"/>
    <x v="1"/>
    <x v="1"/>
    <x v="0"/>
    <x v="1"/>
    <x v="5"/>
    <x v="275"/>
    <n v="10"/>
    <n v="35.494999999999997"/>
    <n v="745.39499999999998"/>
    <x v="80"/>
    <d v="1899-12-30T16:28:00"/>
    <x v="1"/>
    <n v="709.9"/>
    <n v="4.7619047620000003"/>
    <n v="35.494999999999997"/>
    <n v="5.7"/>
  </r>
  <r>
    <x v="279"/>
    <x v="0"/>
    <x v="0"/>
    <x v="0"/>
    <x v="1"/>
    <x v="3"/>
    <x v="276"/>
    <n v="10"/>
    <n v="22.01"/>
    <n v="462.21"/>
    <x v="80"/>
    <d v="1899-12-30T19:57:00"/>
    <x v="2"/>
    <n v="440.2"/>
    <n v="4.7619047620000003"/>
    <n v="22.01"/>
    <n v="9.6"/>
  </r>
  <r>
    <x v="280"/>
    <x v="0"/>
    <x v="0"/>
    <x v="1"/>
    <x v="0"/>
    <x v="2"/>
    <x v="277"/>
    <n v="8"/>
    <n v="27.984000000000002"/>
    <n v="587.66399999999999"/>
    <x v="42"/>
    <d v="1899-12-30T17:01:00"/>
    <x v="2"/>
    <n v="559.67999999999995"/>
    <n v="4.7619047620000003"/>
    <n v="27.984000000000002"/>
    <n v="6.4"/>
  </r>
  <r>
    <x v="281"/>
    <x v="1"/>
    <x v="1"/>
    <x v="1"/>
    <x v="1"/>
    <x v="2"/>
    <x v="278"/>
    <n v="1"/>
    <n v="1.85"/>
    <n v="38.85"/>
    <x v="43"/>
    <d v="1899-12-30T13:29:00"/>
    <x v="2"/>
    <n v="37"/>
    <n v="4.7619047620000003"/>
    <n v="1.85"/>
    <n v="7.9"/>
  </r>
  <r>
    <x v="282"/>
    <x v="0"/>
    <x v="0"/>
    <x v="1"/>
    <x v="0"/>
    <x v="3"/>
    <x v="279"/>
    <n v="1"/>
    <n v="0.76700000000000002"/>
    <n v="16.106999999999999"/>
    <x v="47"/>
    <d v="1899-12-30T11:09:00"/>
    <x v="1"/>
    <n v="15.34"/>
    <n v="4.7619047620000003"/>
    <n v="0.76700000000000002"/>
    <n v="6.5"/>
  </r>
  <r>
    <x v="283"/>
    <x v="0"/>
    <x v="0"/>
    <x v="0"/>
    <x v="1"/>
    <x v="0"/>
    <x v="280"/>
    <n v="6"/>
    <n v="29.949000000000002"/>
    <n v="628.92899999999997"/>
    <x v="31"/>
    <d v="1899-12-30T15:02:00"/>
    <x v="0"/>
    <n v="598.98"/>
    <n v="4.7619047620000003"/>
    <n v="29.949000000000002"/>
    <n v="8.5"/>
  </r>
  <r>
    <x v="284"/>
    <x v="0"/>
    <x v="0"/>
    <x v="0"/>
    <x v="0"/>
    <x v="0"/>
    <x v="281"/>
    <n v="4"/>
    <n v="9.5340000000000007"/>
    <n v="200.214"/>
    <x v="41"/>
    <d v="1899-12-30T14:21:00"/>
    <x v="1"/>
    <n v="190.68"/>
    <n v="4.7619047620000003"/>
    <n v="9.5340000000000007"/>
    <n v="9.1"/>
  </r>
  <r>
    <x v="285"/>
    <x v="2"/>
    <x v="2"/>
    <x v="1"/>
    <x v="1"/>
    <x v="0"/>
    <x v="282"/>
    <n v="5"/>
    <n v="16.670000000000002"/>
    <n v="350.07"/>
    <x v="9"/>
    <d v="1899-12-30T18:01:00"/>
    <x v="1"/>
    <n v="333.4"/>
    <n v="4.7619047620000003"/>
    <n v="16.670000000000002"/>
    <n v="7.6"/>
  </r>
  <r>
    <x v="286"/>
    <x v="1"/>
    <x v="1"/>
    <x v="0"/>
    <x v="1"/>
    <x v="2"/>
    <x v="283"/>
    <n v="1"/>
    <n v="3.7429999999999999"/>
    <n v="78.602999999999994"/>
    <x v="62"/>
    <d v="1899-12-30T14:49:00"/>
    <x v="1"/>
    <n v="74.86"/>
    <n v="4.7619047620000003"/>
    <n v="3.7429999999999999"/>
    <n v="6.9"/>
  </r>
  <r>
    <x v="287"/>
    <x v="1"/>
    <x v="1"/>
    <x v="1"/>
    <x v="0"/>
    <x v="3"/>
    <x v="251"/>
    <n v="9"/>
    <n v="10.6875"/>
    <n v="224.4375"/>
    <x v="82"/>
    <d v="1899-12-30T12:02:00"/>
    <x v="1"/>
    <n v="213.75"/>
    <n v="4.7619047620000003"/>
    <n v="10.6875"/>
    <n v="9.5"/>
  </r>
  <r>
    <x v="288"/>
    <x v="2"/>
    <x v="2"/>
    <x v="1"/>
    <x v="0"/>
    <x v="4"/>
    <x v="284"/>
    <n v="7"/>
    <n v="16.9785"/>
    <n v="356.54849999999999"/>
    <x v="25"/>
    <d v="1899-12-30T13:30:00"/>
    <x v="2"/>
    <n v="339.57"/>
    <n v="4.7619047620000003"/>
    <n v="16.9785"/>
    <n v="5.2"/>
  </r>
  <r>
    <x v="289"/>
    <x v="0"/>
    <x v="0"/>
    <x v="0"/>
    <x v="0"/>
    <x v="2"/>
    <x v="285"/>
    <n v="7"/>
    <n v="33.207999999999998"/>
    <n v="697.36800000000005"/>
    <x v="36"/>
    <d v="1899-12-30T14:38:00"/>
    <x v="1"/>
    <n v="664.16"/>
    <n v="4.7619047620000003"/>
    <n v="33.207999999999998"/>
    <n v="4.2"/>
  </r>
  <r>
    <x v="290"/>
    <x v="2"/>
    <x v="2"/>
    <x v="0"/>
    <x v="1"/>
    <x v="1"/>
    <x v="19"/>
    <n v="10"/>
    <n v="20.149999999999999"/>
    <n v="423.15"/>
    <x v="46"/>
    <d v="1899-12-30T17:37:00"/>
    <x v="2"/>
    <n v="403"/>
    <n v="4.7619047620000003"/>
    <n v="20.149999999999999"/>
    <n v="7"/>
  </r>
  <r>
    <x v="291"/>
    <x v="1"/>
    <x v="1"/>
    <x v="1"/>
    <x v="1"/>
    <x v="1"/>
    <x v="286"/>
    <n v="7"/>
    <n v="9.7475000000000005"/>
    <n v="204.69749999999999"/>
    <x v="86"/>
    <d v="1899-12-30T17:20:00"/>
    <x v="0"/>
    <n v="194.95"/>
    <n v="4.7619047620000003"/>
    <n v="9.7475000000000005"/>
    <n v="6"/>
  </r>
  <r>
    <x v="292"/>
    <x v="0"/>
    <x v="0"/>
    <x v="0"/>
    <x v="0"/>
    <x v="1"/>
    <x v="287"/>
    <n v="1"/>
    <n v="3.1240000000000001"/>
    <n v="65.603999999999999"/>
    <x v="67"/>
    <d v="1899-12-30T20:29:00"/>
    <x v="1"/>
    <n v="62.48"/>
    <n v="4.7619047620000003"/>
    <n v="3.1240000000000001"/>
    <n v="4.7"/>
  </r>
  <r>
    <x v="293"/>
    <x v="0"/>
    <x v="0"/>
    <x v="0"/>
    <x v="0"/>
    <x v="4"/>
    <x v="288"/>
    <n v="2"/>
    <n v="3.6360000000000001"/>
    <n v="76.355999999999995"/>
    <x v="18"/>
    <d v="1899-12-30T10:00:00"/>
    <x v="1"/>
    <n v="72.72"/>
    <n v="4.7619047620000003"/>
    <n v="3.6360000000000001"/>
    <n v="7.1"/>
  </r>
  <r>
    <x v="294"/>
    <x v="2"/>
    <x v="2"/>
    <x v="1"/>
    <x v="1"/>
    <x v="0"/>
    <x v="289"/>
    <n v="10"/>
    <n v="9.0549999999999997"/>
    <n v="190.155"/>
    <x v="45"/>
    <d v="1899-12-30T11:46:00"/>
    <x v="0"/>
    <n v="181.1"/>
    <n v="4.7619047620000003"/>
    <n v="9.0549999999999997"/>
    <n v="5.9"/>
  </r>
  <r>
    <x v="295"/>
    <x v="1"/>
    <x v="1"/>
    <x v="0"/>
    <x v="0"/>
    <x v="1"/>
    <x v="290"/>
    <n v="5"/>
    <n v="12.98"/>
    <n v="272.58"/>
    <x v="2"/>
    <d v="1899-12-30T13:42:00"/>
    <x v="1"/>
    <n v="259.60000000000002"/>
    <n v="4.7619047620000003"/>
    <n v="12.98"/>
    <n v="7.5"/>
  </r>
  <r>
    <x v="296"/>
    <x v="1"/>
    <x v="1"/>
    <x v="1"/>
    <x v="1"/>
    <x v="1"/>
    <x v="291"/>
    <n v="4"/>
    <n v="5.7679999999999998"/>
    <n v="121.128"/>
    <x v="14"/>
    <d v="1899-12-30T14:44:00"/>
    <x v="1"/>
    <n v="115.36"/>
    <n v="4.7619047620000003"/>
    <n v="5.7679999999999998"/>
    <n v="6.4"/>
  </r>
  <r>
    <x v="297"/>
    <x v="0"/>
    <x v="0"/>
    <x v="0"/>
    <x v="1"/>
    <x v="2"/>
    <x v="292"/>
    <n v="6"/>
    <n v="23.513999999999999"/>
    <n v="493.79399999999998"/>
    <x v="8"/>
    <d v="1899-12-30T14:16:00"/>
    <x v="0"/>
    <n v="470.28"/>
    <n v="4.7619047620000003"/>
    <n v="23.513999999999999"/>
    <n v="5.8"/>
  </r>
  <r>
    <x v="298"/>
    <x v="0"/>
    <x v="0"/>
    <x v="0"/>
    <x v="1"/>
    <x v="2"/>
    <x v="293"/>
    <n v="4"/>
    <n v="12.002000000000001"/>
    <n v="252.042"/>
    <x v="25"/>
    <d v="1899-12-30T15:54:00"/>
    <x v="1"/>
    <n v="240.04"/>
    <n v="4.7619047620000003"/>
    <n v="12.002000000000001"/>
    <n v="4.5"/>
  </r>
  <r>
    <x v="299"/>
    <x v="1"/>
    <x v="1"/>
    <x v="0"/>
    <x v="0"/>
    <x v="2"/>
    <x v="294"/>
    <n v="1"/>
    <n v="4.4305000000000003"/>
    <n v="93.040499999999994"/>
    <x v="64"/>
    <d v="1899-12-30T10:21:00"/>
    <x v="1"/>
    <n v="88.61"/>
    <n v="4.7619047620000003"/>
    <n v="4.4305000000000003"/>
    <n v="7.7"/>
  </r>
  <r>
    <x v="300"/>
    <x v="1"/>
    <x v="1"/>
    <x v="1"/>
    <x v="1"/>
    <x v="5"/>
    <x v="295"/>
    <n v="2"/>
    <n v="9.9819999999999993"/>
    <n v="209.62200000000001"/>
    <x v="56"/>
    <d v="1899-12-30T18:09:00"/>
    <x v="2"/>
    <n v="199.64"/>
    <n v="4.7619047620000003"/>
    <n v="9.9819999999999993"/>
    <n v="6.7"/>
  </r>
  <r>
    <x v="301"/>
    <x v="2"/>
    <x v="2"/>
    <x v="0"/>
    <x v="1"/>
    <x v="0"/>
    <x v="296"/>
    <n v="1"/>
    <n v="1.9504999999999999"/>
    <n v="40.960500000000003"/>
    <x v="41"/>
    <d v="1899-12-30T16:46:00"/>
    <x v="2"/>
    <n v="39.01"/>
    <n v="4.7619047620000003"/>
    <n v="1.9504999999999999"/>
    <n v="4.7"/>
  </r>
  <r>
    <x v="302"/>
    <x v="1"/>
    <x v="1"/>
    <x v="1"/>
    <x v="1"/>
    <x v="4"/>
    <x v="297"/>
    <n v="1"/>
    <n v="2.4304999999999999"/>
    <n v="51.040500000000002"/>
    <x v="6"/>
    <d v="1899-12-30T15:31:00"/>
    <x v="1"/>
    <n v="48.61"/>
    <n v="4.7619047620000003"/>
    <n v="2.4304999999999999"/>
    <n v="4.4000000000000004"/>
  </r>
  <r>
    <x v="303"/>
    <x v="0"/>
    <x v="0"/>
    <x v="1"/>
    <x v="0"/>
    <x v="1"/>
    <x v="298"/>
    <n v="4"/>
    <n v="10.238"/>
    <n v="214.99799999999999"/>
    <x v="79"/>
    <d v="1899-12-30T17:15:00"/>
    <x v="2"/>
    <n v="204.76"/>
    <n v="4.7619047620000003"/>
    <n v="10.238"/>
    <n v="4.7"/>
  </r>
  <r>
    <x v="304"/>
    <x v="2"/>
    <x v="2"/>
    <x v="1"/>
    <x v="0"/>
    <x v="1"/>
    <x v="299"/>
    <n v="8"/>
    <n v="5.984"/>
    <n v="125.664"/>
    <x v="55"/>
    <d v="1899-12-30T12:29:00"/>
    <x v="1"/>
    <n v="119.68"/>
    <n v="4.7619047620000003"/>
    <n v="5.984"/>
    <n v="8.6"/>
  </r>
  <r>
    <x v="305"/>
    <x v="0"/>
    <x v="0"/>
    <x v="0"/>
    <x v="1"/>
    <x v="1"/>
    <x v="300"/>
    <n v="7"/>
    <n v="25.27"/>
    <n v="530.66999999999996"/>
    <x v="58"/>
    <d v="1899-12-30T20:14:00"/>
    <x v="0"/>
    <n v="505.4"/>
    <n v="4.7619047620000003"/>
    <n v="25.27"/>
    <n v="4.3"/>
  </r>
  <r>
    <x v="306"/>
    <x v="0"/>
    <x v="0"/>
    <x v="1"/>
    <x v="0"/>
    <x v="3"/>
    <x v="301"/>
    <n v="7"/>
    <n v="14.080500000000001"/>
    <n v="295.69049999999999"/>
    <x v="73"/>
    <d v="1899-12-30T13:22:00"/>
    <x v="1"/>
    <n v="281.61"/>
    <n v="4.7619047620000003"/>
    <n v="14.080500000000001"/>
    <n v="9.6"/>
  </r>
  <r>
    <x v="307"/>
    <x v="0"/>
    <x v="0"/>
    <x v="0"/>
    <x v="0"/>
    <x v="2"/>
    <x v="302"/>
    <n v="8"/>
    <n v="35.515999999999998"/>
    <n v="745.83600000000001"/>
    <x v="21"/>
    <d v="1899-12-30T17:09:00"/>
    <x v="1"/>
    <n v="710.32"/>
    <n v="4.7619047620000003"/>
    <n v="35.515999999999998"/>
    <n v="4.0999999999999996"/>
  </r>
  <r>
    <x v="308"/>
    <x v="0"/>
    <x v="0"/>
    <x v="0"/>
    <x v="0"/>
    <x v="1"/>
    <x v="303"/>
    <n v="3"/>
    <n v="3.972"/>
    <n v="83.412000000000006"/>
    <x v="76"/>
    <d v="1899-12-30T10:40:00"/>
    <x v="0"/>
    <n v="79.44"/>
    <n v="4.7619047620000003"/>
    <n v="3.972"/>
    <n v="4.7"/>
  </r>
  <r>
    <x v="309"/>
    <x v="0"/>
    <x v="0"/>
    <x v="1"/>
    <x v="0"/>
    <x v="5"/>
    <x v="304"/>
    <n v="2"/>
    <n v="8.1910000000000007"/>
    <n v="172.011"/>
    <x v="19"/>
    <d v="1899-12-30T17:43:00"/>
    <x v="1"/>
    <n v="163.82"/>
    <n v="4.7619047620000003"/>
    <n v="8.1910000000000007"/>
    <n v="7.8"/>
  </r>
  <r>
    <x v="310"/>
    <x v="2"/>
    <x v="2"/>
    <x v="0"/>
    <x v="1"/>
    <x v="3"/>
    <x v="305"/>
    <n v="6"/>
    <n v="23.978999999999999"/>
    <n v="503.55900000000003"/>
    <x v="82"/>
    <d v="1899-12-30T14:04:00"/>
    <x v="1"/>
    <n v="479.58"/>
    <n v="4.7619047620000003"/>
    <n v="23.978999999999999"/>
    <n v="5.5"/>
  </r>
  <r>
    <x v="311"/>
    <x v="1"/>
    <x v="1"/>
    <x v="0"/>
    <x v="1"/>
    <x v="5"/>
    <x v="306"/>
    <n v="2"/>
    <n v="6.9329999999999998"/>
    <n v="145.59299999999999"/>
    <x v="63"/>
    <d v="1899-12-30T19:05:00"/>
    <x v="0"/>
    <n v="138.66"/>
    <n v="4.7619047620000003"/>
    <n v="6.9329999999999998"/>
    <n v="9.6999999999999993"/>
  </r>
  <r>
    <x v="312"/>
    <x v="0"/>
    <x v="0"/>
    <x v="0"/>
    <x v="0"/>
    <x v="4"/>
    <x v="307"/>
    <n v="5"/>
    <n v="3.5575000000000001"/>
    <n v="74.707499999999996"/>
    <x v="60"/>
    <d v="1899-12-30T10:08:00"/>
    <x v="2"/>
    <n v="71.150000000000006"/>
    <n v="4.7619047620000003"/>
    <n v="3.5575000000000001"/>
    <n v="4.4000000000000004"/>
  </r>
  <r>
    <x v="313"/>
    <x v="0"/>
    <x v="0"/>
    <x v="0"/>
    <x v="0"/>
    <x v="0"/>
    <x v="308"/>
    <n v="9"/>
    <n v="6.9974999999999996"/>
    <n v="146.94749999999999"/>
    <x v="37"/>
    <d v="1899-12-30T13:12:00"/>
    <x v="1"/>
    <n v="139.94999999999999"/>
    <n v="4.7619047620000003"/>
    <n v="6.9974999999999996"/>
    <n v="5"/>
  </r>
  <r>
    <x v="314"/>
    <x v="1"/>
    <x v="1"/>
    <x v="0"/>
    <x v="0"/>
    <x v="1"/>
    <x v="309"/>
    <n v="10"/>
    <n v="39.064999999999998"/>
    <n v="820.36500000000001"/>
    <x v="34"/>
    <d v="1899-12-30T20:51:00"/>
    <x v="1"/>
    <n v="781.3"/>
    <n v="4.7619047620000003"/>
    <n v="39.064999999999998"/>
    <n v="4.4000000000000004"/>
  </r>
  <r>
    <x v="315"/>
    <x v="1"/>
    <x v="1"/>
    <x v="0"/>
    <x v="1"/>
    <x v="4"/>
    <x v="310"/>
    <n v="2"/>
    <n v="9.9369999999999994"/>
    <n v="208.67699999999999"/>
    <x v="44"/>
    <d v="1899-12-30T17:29:00"/>
    <x v="1"/>
    <n v="198.74"/>
    <n v="4.7619047620000003"/>
    <n v="9.9369999999999994"/>
    <n v="5.2"/>
  </r>
  <r>
    <x v="316"/>
    <x v="1"/>
    <x v="1"/>
    <x v="0"/>
    <x v="0"/>
    <x v="4"/>
    <x v="311"/>
    <n v="3"/>
    <n v="3.1619999999999999"/>
    <n v="66.402000000000001"/>
    <x v="57"/>
    <d v="1899-12-30T10:25:00"/>
    <x v="1"/>
    <n v="63.24"/>
    <n v="4.7619047620000003"/>
    <n v="3.1619999999999999"/>
    <n v="7.3"/>
  </r>
  <r>
    <x v="317"/>
    <x v="1"/>
    <x v="1"/>
    <x v="0"/>
    <x v="1"/>
    <x v="1"/>
    <x v="312"/>
    <n v="5"/>
    <n v="18.697500000000002"/>
    <n v="392.64749999999998"/>
    <x v="8"/>
    <d v="1899-12-30T11:34:00"/>
    <x v="1"/>
    <n v="373.95"/>
    <n v="4.7619047620000003"/>
    <n v="18.697500000000002"/>
    <n v="4.9000000000000004"/>
  </r>
  <r>
    <x v="318"/>
    <x v="1"/>
    <x v="1"/>
    <x v="0"/>
    <x v="0"/>
    <x v="0"/>
    <x v="313"/>
    <n v="7"/>
    <n v="10.384499999999999"/>
    <n v="218.0745"/>
    <x v="16"/>
    <d v="1899-12-30T18:58:00"/>
    <x v="2"/>
    <n v="207.69"/>
    <n v="4.7619047620000003"/>
    <n v="10.384499999999999"/>
    <n v="8.1"/>
  </r>
  <r>
    <x v="319"/>
    <x v="1"/>
    <x v="1"/>
    <x v="0"/>
    <x v="1"/>
    <x v="0"/>
    <x v="314"/>
    <n v="4"/>
    <n v="8.8140000000000001"/>
    <n v="185.09399999999999"/>
    <x v="67"/>
    <d v="1899-12-30T16:28:00"/>
    <x v="0"/>
    <n v="176.28"/>
    <n v="4.7619047620000003"/>
    <n v="8.8140000000000001"/>
    <n v="8.4"/>
  </r>
  <r>
    <x v="320"/>
    <x v="1"/>
    <x v="1"/>
    <x v="1"/>
    <x v="0"/>
    <x v="4"/>
    <x v="315"/>
    <n v="9"/>
    <n v="10.3185"/>
    <n v="216.6885"/>
    <x v="84"/>
    <d v="1899-12-30T20:26:00"/>
    <x v="1"/>
    <n v="206.37"/>
    <n v="4.7619047620000003"/>
    <n v="10.3185"/>
    <n v="5.5"/>
  </r>
  <r>
    <x v="321"/>
    <x v="1"/>
    <x v="1"/>
    <x v="1"/>
    <x v="0"/>
    <x v="0"/>
    <x v="316"/>
    <n v="1"/>
    <n v="1.9710000000000001"/>
    <n v="41.390999999999998"/>
    <x v="68"/>
    <d v="1899-12-30T15:08:00"/>
    <x v="1"/>
    <n v="39.42"/>
    <n v="4.7619047620000003"/>
    <n v="1.9710000000000001"/>
    <n v="8.4"/>
  </r>
  <r>
    <x v="322"/>
    <x v="0"/>
    <x v="0"/>
    <x v="1"/>
    <x v="1"/>
    <x v="0"/>
    <x v="317"/>
    <n v="6"/>
    <n v="4.5780000000000003"/>
    <n v="96.138000000000005"/>
    <x v="42"/>
    <d v="1899-12-30T18:03:00"/>
    <x v="0"/>
    <n v="91.56"/>
    <n v="4.7619047620000003"/>
    <n v="4.5780000000000003"/>
    <n v="9.8000000000000007"/>
  </r>
  <r>
    <x v="323"/>
    <x v="0"/>
    <x v="0"/>
    <x v="1"/>
    <x v="0"/>
    <x v="5"/>
    <x v="318"/>
    <n v="5"/>
    <n v="15.442500000000001"/>
    <n v="324.29250000000002"/>
    <x v="1"/>
    <d v="1899-12-30T13:21:00"/>
    <x v="1"/>
    <n v="308.85000000000002"/>
    <n v="4.7619047620000003"/>
    <n v="15.442500000000001"/>
    <n v="6.7"/>
  </r>
  <r>
    <x v="324"/>
    <x v="0"/>
    <x v="0"/>
    <x v="1"/>
    <x v="1"/>
    <x v="2"/>
    <x v="319"/>
    <n v="6"/>
    <n v="6.4560000000000004"/>
    <n v="135.57599999999999"/>
    <x v="29"/>
    <d v="1899-12-30T12:48:00"/>
    <x v="2"/>
    <n v="129.12"/>
    <n v="4.7619047620000003"/>
    <n v="6.4560000000000004"/>
    <n v="9.4"/>
  </r>
  <r>
    <x v="325"/>
    <x v="2"/>
    <x v="2"/>
    <x v="1"/>
    <x v="1"/>
    <x v="3"/>
    <x v="320"/>
    <n v="4"/>
    <n v="19.547999999999998"/>
    <n v="410.50799999999998"/>
    <x v="41"/>
    <d v="1899-12-30T19:53:00"/>
    <x v="0"/>
    <n v="390.96"/>
    <n v="4.7619047620000003"/>
    <n v="19.547999999999998"/>
    <n v="6.4"/>
  </r>
  <r>
    <x v="326"/>
    <x v="0"/>
    <x v="0"/>
    <x v="0"/>
    <x v="1"/>
    <x v="4"/>
    <x v="321"/>
    <n v="5"/>
    <n v="24.945"/>
    <n v="523.84500000000003"/>
    <x v="11"/>
    <d v="1899-12-30T19:09:00"/>
    <x v="1"/>
    <n v="498.9"/>
    <n v="4.7619047620000003"/>
    <n v="24.945"/>
    <n v="5.4"/>
  </r>
  <r>
    <x v="327"/>
    <x v="1"/>
    <x v="1"/>
    <x v="0"/>
    <x v="1"/>
    <x v="4"/>
    <x v="322"/>
    <n v="4"/>
    <n v="18.852"/>
    <n v="395.892"/>
    <x v="41"/>
    <d v="1899-12-30T16:30:00"/>
    <x v="1"/>
    <n v="377.04"/>
    <n v="4.7619047620000003"/>
    <n v="18.852"/>
    <n v="8.6"/>
  </r>
  <r>
    <x v="328"/>
    <x v="2"/>
    <x v="2"/>
    <x v="0"/>
    <x v="1"/>
    <x v="0"/>
    <x v="323"/>
    <n v="4"/>
    <n v="10.226000000000001"/>
    <n v="214.74600000000001"/>
    <x v="25"/>
    <d v="1899-12-30T10:11:00"/>
    <x v="2"/>
    <n v="204.52"/>
    <n v="4.7619047620000003"/>
    <n v="10.226000000000001"/>
    <n v="4"/>
  </r>
  <r>
    <x v="329"/>
    <x v="0"/>
    <x v="0"/>
    <x v="0"/>
    <x v="1"/>
    <x v="1"/>
    <x v="288"/>
    <n v="4"/>
    <n v="7.2720000000000002"/>
    <n v="152.71199999999999"/>
    <x v="5"/>
    <d v="1899-12-30T13:07:00"/>
    <x v="1"/>
    <n v="145.44"/>
    <n v="4.7619047620000003"/>
    <n v="7.2720000000000002"/>
    <n v="7.6"/>
  </r>
  <r>
    <x v="330"/>
    <x v="2"/>
    <x v="2"/>
    <x v="1"/>
    <x v="1"/>
    <x v="2"/>
    <x v="324"/>
    <n v="9"/>
    <n v="9.9090000000000007"/>
    <n v="208.089"/>
    <x v="13"/>
    <d v="1899-12-30T18:48:00"/>
    <x v="1"/>
    <n v="198.18"/>
    <n v="4.7619047620000003"/>
    <n v="9.9090000000000007"/>
    <n v="6.8"/>
  </r>
  <r>
    <x v="331"/>
    <x v="0"/>
    <x v="0"/>
    <x v="1"/>
    <x v="1"/>
    <x v="4"/>
    <x v="325"/>
    <n v="3"/>
    <n v="4.9349999999999996"/>
    <n v="103.63500000000001"/>
    <x v="21"/>
    <d v="1899-12-30T17:27:00"/>
    <x v="2"/>
    <n v="98.7"/>
    <n v="4.7619047620000003"/>
    <n v="4.9349999999999996"/>
    <n v="9.1"/>
  </r>
  <r>
    <x v="332"/>
    <x v="0"/>
    <x v="0"/>
    <x v="1"/>
    <x v="1"/>
    <x v="5"/>
    <x v="326"/>
    <n v="5"/>
    <n v="19.254999999999999"/>
    <n v="404.35500000000002"/>
    <x v="36"/>
    <d v="1899-12-30T15:59:00"/>
    <x v="1"/>
    <n v="385.1"/>
    <n v="4.7619047620000003"/>
    <n v="19.254999999999999"/>
    <n v="5.5"/>
  </r>
  <r>
    <x v="333"/>
    <x v="0"/>
    <x v="0"/>
    <x v="0"/>
    <x v="1"/>
    <x v="4"/>
    <x v="327"/>
    <n v="2"/>
    <n v="2.3479999999999999"/>
    <n v="49.308"/>
    <x v="86"/>
    <d v="1899-12-30T11:21:00"/>
    <x v="2"/>
    <n v="46.96"/>
    <n v="4.7619047620000003"/>
    <n v="2.3479999999999999"/>
    <n v="7.9"/>
  </r>
  <r>
    <x v="334"/>
    <x v="1"/>
    <x v="1"/>
    <x v="0"/>
    <x v="1"/>
    <x v="3"/>
    <x v="328"/>
    <n v="5"/>
    <n v="3.6749999999999998"/>
    <n v="77.174999999999997"/>
    <x v="62"/>
    <d v="1899-12-30T13:48:00"/>
    <x v="0"/>
    <n v="73.5"/>
    <n v="4.7619047620000003"/>
    <n v="3.6749999999999998"/>
    <n v="8.5"/>
  </r>
  <r>
    <x v="335"/>
    <x v="0"/>
    <x v="0"/>
    <x v="0"/>
    <x v="0"/>
    <x v="1"/>
    <x v="329"/>
    <n v="5"/>
    <n v="7.1124999999999998"/>
    <n v="149.36250000000001"/>
    <x v="76"/>
    <d v="1899-12-30T10:17:00"/>
    <x v="2"/>
    <n v="142.25"/>
    <n v="4.7619047620000003"/>
    <n v="7.1124999999999998"/>
    <n v="9.1"/>
  </r>
  <r>
    <x v="336"/>
    <x v="0"/>
    <x v="0"/>
    <x v="1"/>
    <x v="1"/>
    <x v="5"/>
    <x v="161"/>
    <n v="9"/>
    <n v="34.380000000000003"/>
    <n v="721.98"/>
    <x v="35"/>
    <d v="1899-12-30T15:49:00"/>
    <x v="0"/>
    <n v="687.6"/>
    <n v="4.7619047620000003"/>
    <n v="34.380000000000003"/>
    <n v="7.5"/>
  </r>
  <r>
    <x v="337"/>
    <x v="2"/>
    <x v="2"/>
    <x v="1"/>
    <x v="0"/>
    <x v="3"/>
    <x v="330"/>
    <n v="6"/>
    <n v="17.385000000000002"/>
    <n v="365.08499999999998"/>
    <x v="7"/>
    <d v="1899-12-30T13:02:00"/>
    <x v="1"/>
    <n v="347.7"/>
    <n v="4.7619047620000003"/>
    <n v="17.385000000000002"/>
    <n v="5.2"/>
  </r>
  <r>
    <x v="338"/>
    <x v="1"/>
    <x v="1"/>
    <x v="1"/>
    <x v="0"/>
    <x v="1"/>
    <x v="331"/>
    <n v="3"/>
    <n v="7.1475"/>
    <n v="150.0975"/>
    <x v="61"/>
    <d v="1899-12-30T12:58:00"/>
    <x v="2"/>
    <n v="142.94999999999999"/>
    <n v="4.7619047620000003"/>
    <n v="7.1475"/>
    <n v="9.5"/>
  </r>
  <r>
    <x v="339"/>
    <x v="2"/>
    <x v="2"/>
    <x v="0"/>
    <x v="0"/>
    <x v="4"/>
    <x v="332"/>
    <n v="9"/>
    <n v="19.268999999999998"/>
    <n v="404.649"/>
    <x v="63"/>
    <d v="1899-12-30T15:26:00"/>
    <x v="2"/>
    <n v="385.38"/>
    <n v="4.7619047620000003"/>
    <n v="19.268999999999998"/>
    <n v="8.9"/>
  </r>
  <r>
    <x v="340"/>
    <x v="2"/>
    <x v="2"/>
    <x v="0"/>
    <x v="1"/>
    <x v="1"/>
    <x v="333"/>
    <n v="3"/>
    <n v="7.2134999999999998"/>
    <n v="151.48349999999999"/>
    <x v="34"/>
    <d v="1899-12-30T18:23:00"/>
    <x v="2"/>
    <n v="144.27000000000001"/>
    <n v="4.7619047620000003"/>
    <n v="7.2134999999999998"/>
    <n v="7.8"/>
  </r>
  <r>
    <x v="341"/>
    <x v="2"/>
    <x v="2"/>
    <x v="0"/>
    <x v="0"/>
    <x v="0"/>
    <x v="334"/>
    <n v="7"/>
    <n v="19.589500000000001"/>
    <n v="411.37950000000001"/>
    <x v="19"/>
    <d v="1899-12-30T19:06:00"/>
    <x v="0"/>
    <n v="391.79"/>
    <n v="4.7619047620000003"/>
    <n v="19.589500000000001"/>
    <n v="8.9"/>
  </r>
  <r>
    <x v="342"/>
    <x v="2"/>
    <x v="2"/>
    <x v="0"/>
    <x v="0"/>
    <x v="0"/>
    <x v="335"/>
    <n v="7"/>
    <n v="26.914999999999999"/>
    <n v="565.21500000000003"/>
    <x v="42"/>
    <d v="1899-12-30T20:21:00"/>
    <x v="1"/>
    <n v="538.29999999999995"/>
    <n v="4.7619047620000003"/>
    <n v="26.914999999999999"/>
    <n v="7.7"/>
  </r>
  <r>
    <x v="343"/>
    <x v="1"/>
    <x v="1"/>
    <x v="1"/>
    <x v="0"/>
    <x v="4"/>
    <x v="336"/>
    <n v="5"/>
    <n v="24.2575"/>
    <n v="509.40750000000003"/>
    <x v="74"/>
    <d v="1899-12-30T16:24:00"/>
    <x v="0"/>
    <n v="485.15"/>
    <n v="4.7619047620000003"/>
    <n v="24.2575"/>
    <n v="9.3000000000000007"/>
  </r>
  <r>
    <x v="344"/>
    <x v="0"/>
    <x v="0"/>
    <x v="1"/>
    <x v="1"/>
    <x v="3"/>
    <x v="337"/>
    <n v="3"/>
    <n v="6.6974999999999998"/>
    <n v="140.64750000000001"/>
    <x v="44"/>
    <d v="1899-12-30T15:04:00"/>
    <x v="1"/>
    <n v="133.94999999999999"/>
    <n v="4.7619047620000003"/>
    <n v="6.6974999999999998"/>
    <n v="6.2"/>
  </r>
  <r>
    <x v="345"/>
    <x v="0"/>
    <x v="0"/>
    <x v="1"/>
    <x v="0"/>
    <x v="5"/>
    <x v="338"/>
    <n v="9"/>
    <n v="35.0685"/>
    <n v="736.43849999999998"/>
    <x v="33"/>
    <d v="1899-12-30T16:10:00"/>
    <x v="0"/>
    <n v="701.37"/>
    <n v="4.7619047620000003"/>
    <n v="35.0685"/>
    <n v="7.6"/>
  </r>
  <r>
    <x v="346"/>
    <x v="0"/>
    <x v="0"/>
    <x v="0"/>
    <x v="1"/>
    <x v="1"/>
    <x v="339"/>
    <n v="1"/>
    <n v="3.5975000000000001"/>
    <n v="75.547499999999999"/>
    <x v="87"/>
    <d v="1899-12-30T12:14:00"/>
    <x v="1"/>
    <n v="71.95"/>
    <n v="4.7619047620000003"/>
    <n v="3.5975000000000001"/>
    <n v="7.3"/>
  </r>
  <r>
    <x v="347"/>
    <x v="1"/>
    <x v="1"/>
    <x v="0"/>
    <x v="0"/>
    <x v="2"/>
    <x v="340"/>
    <n v="8"/>
    <n v="35.700000000000003"/>
    <n v="749.7"/>
    <x v="40"/>
    <d v="1899-12-30T10:13:00"/>
    <x v="1"/>
    <n v="714"/>
    <n v="4.7619047620000003"/>
    <n v="35.700000000000003"/>
    <n v="4.7"/>
  </r>
  <r>
    <x v="348"/>
    <x v="0"/>
    <x v="0"/>
    <x v="1"/>
    <x v="1"/>
    <x v="1"/>
    <x v="341"/>
    <n v="7"/>
    <n v="9.1069999999999993"/>
    <n v="191.24700000000001"/>
    <x v="61"/>
    <d v="1899-12-30T17:38:00"/>
    <x v="1"/>
    <n v="182.14"/>
    <n v="4.7619047620000003"/>
    <n v="9.1069999999999993"/>
    <n v="5.0999999999999996"/>
  </r>
  <r>
    <x v="349"/>
    <x v="2"/>
    <x v="2"/>
    <x v="1"/>
    <x v="0"/>
    <x v="0"/>
    <x v="342"/>
    <n v="10"/>
    <n v="6.75"/>
    <n v="141.75"/>
    <x v="33"/>
    <d v="1899-12-30T11:06:00"/>
    <x v="2"/>
    <n v="135"/>
    <n v="4.7619047620000003"/>
    <n v="6.75"/>
    <n v="4.8"/>
  </r>
  <r>
    <x v="350"/>
    <x v="1"/>
    <x v="1"/>
    <x v="0"/>
    <x v="0"/>
    <x v="5"/>
    <x v="343"/>
    <n v="10"/>
    <n v="49.65"/>
    <n v="1042.6500000000001"/>
    <x v="42"/>
    <d v="1899-12-30T14:53:00"/>
    <x v="2"/>
    <n v="993"/>
    <n v="4.7619047620000003"/>
    <n v="49.65"/>
    <n v="6.6"/>
  </r>
  <r>
    <x v="351"/>
    <x v="0"/>
    <x v="0"/>
    <x v="1"/>
    <x v="1"/>
    <x v="1"/>
    <x v="344"/>
    <n v="7"/>
    <n v="18.0915"/>
    <n v="379.92149999999998"/>
    <x v="53"/>
    <d v="1899-12-30T18:22:00"/>
    <x v="1"/>
    <n v="361.83"/>
    <n v="4.7619047620000003"/>
    <n v="18.0915"/>
    <n v="5.5"/>
  </r>
  <r>
    <x v="352"/>
    <x v="2"/>
    <x v="2"/>
    <x v="0"/>
    <x v="0"/>
    <x v="5"/>
    <x v="345"/>
    <n v="7"/>
    <n v="19.1555"/>
    <n v="402.26549999999997"/>
    <x v="86"/>
    <d v="1899-12-30T19:02:00"/>
    <x v="2"/>
    <n v="383.11"/>
    <n v="4.7619047620000003"/>
    <n v="19.1555"/>
    <n v="8.5"/>
  </r>
  <r>
    <x v="353"/>
    <x v="2"/>
    <x v="2"/>
    <x v="0"/>
    <x v="1"/>
    <x v="2"/>
    <x v="346"/>
    <n v="9"/>
    <n v="12.15"/>
    <n v="255.15"/>
    <x v="22"/>
    <d v="1899-12-30T14:16:00"/>
    <x v="1"/>
    <n v="243"/>
    <n v="4.7619047620000003"/>
    <n v="12.15"/>
    <n v="4.8"/>
  </r>
  <r>
    <x v="354"/>
    <x v="1"/>
    <x v="1"/>
    <x v="1"/>
    <x v="0"/>
    <x v="1"/>
    <x v="347"/>
    <n v="1"/>
    <n v="1.512"/>
    <n v="31.751999999999999"/>
    <x v="31"/>
    <d v="1899-12-30T15:44:00"/>
    <x v="1"/>
    <n v="30.24"/>
    <n v="4.7619047620000003"/>
    <n v="1.512"/>
    <n v="8.4"/>
  </r>
  <r>
    <x v="355"/>
    <x v="2"/>
    <x v="2"/>
    <x v="0"/>
    <x v="0"/>
    <x v="4"/>
    <x v="348"/>
    <n v="4"/>
    <n v="17.827999999999999"/>
    <n v="374.38799999999998"/>
    <x v="27"/>
    <d v="1899-12-30T12:20:00"/>
    <x v="2"/>
    <n v="356.56"/>
    <n v="4.7619047620000003"/>
    <n v="17.827999999999999"/>
    <n v="7.8"/>
  </r>
  <r>
    <x v="356"/>
    <x v="1"/>
    <x v="1"/>
    <x v="1"/>
    <x v="0"/>
    <x v="5"/>
    <x v="349"/>
    <n v="10"/>
    <n v="18.774999999999999"/>
    <n v="394.27499999999998"/>
    <x v="1"/>
    <d v="1899-12-30T20:01:00"/>
    <x v="2"/>
    <n v="375.5"/>
    <n v="4.7619047620000003"/>
    <n v="18.774999999999999"/>
    <n v="9.3000000000000007"/>
  </r>
  <r>
    <x v="357"/>
    <x v="1"/>
    <x v="1"/>
    <x v="1"/>
    <x v="0"/>
    <x v="3"/>
    <x v="350"/>
    <n v="10"/>
    <n v="47.72"/>
    <n v="1002.12"/>
    <x v="51"/>
    <d v="1899-12-30T13:45:00"/>
    <x v="1"/>
    <n v="954.4"/>
    <n v="4.7619047620000003"/>
    <n v="47.72"/>
    <n v="5.2"/>
  </r>
  <r>
    <x v="358"/>
    <x v="2"/>
    <x v="2"/>
    <x v="1"/>
    <x v="1"/>
    <x v="1"/>
    <x v="351"/>
    <n v="3"/>
    <n v="4.125"/>
    <n v="86.625"/>
    <x v="59"/>
    <d v="1899-12-30T15:40:00"/>
    <x v="0"/>
    <n v="82.5"/>
    <n v="4.7619047620000003"/>
    <n v="4.125"/>
    <n v="6.5"/>
  </r>
  <r>
    <x v="359"/>
    <x v="2"/>
    <x v="2"/>
    <x v="1"/>
    <x v="1"/>
    <x v="3"/>
    <x v="352"/>
    <n v="1"/>
    <n v="3.7484999999999999"/>
    <n v="78.718500000000006"/>
    <x v="32"/>
    <d v="1899-12-30T16:58:00"/>
    <x v="1"/>
    <n v="74.97"/>
    <n v="4.7619047620000003"/>
    <n v="3.7484999999999999"/>
    <n v="5.6"/>
  </r>
  <r>
    <x v="360"/>
    <x v="0"/>
    <x v="0"/>
    <x v="0"/>
    <x v="1"/>
    <x v="4"/>
    <x v="353"/>
    <n v="8"/>
    <n v="32.384"/>
    <n v="680.06399999999996"/>
    <x v="21"/>
    <d v="1899-12-30T11:12:00"/>
    <x v="2"/>
    <n v="647.67999999999995"/>
    <n v="4.7619047620000003"/>
    <n v="32.384"/>
    <n v="7.4"/>
  </r>
  <r>
    <x v="361"/>
    <x v="1"/>
    <x v="1"/>
    <x v="1"/>
    <x v="0"/>
    <x v="4"/>
    <x v="354"/>
    <n v="8"/>
    <n v="37.787999999999997"/>
    <n v="793.548"/>
    <x v="33"/>
    <d v="1899-12-30T15:12:00"/>
    <x v="1"/>
    <n v="755.76"/>
    <n v="4.7619047620000003"/>
    <n v="37.787999999999997"/>
    <n v="9.1"/>
  </r>
  <r>
    <x v="362"/>
    <x v="1"/>
    <x v="1"/>
    <x v="1"/>
    <x v="1"/>
    <x v="4"/>
    <x v="355"/>
    <n v="2"/>
    <n v="9.9789999999999992"/>
    <n v="209.559"/>
    <x v="37"/>
    <d v="1899-12-30T20:37:00"/>
    <x v="0"/>
    <n v="199.58"/>
    <n v="4.7619047620000003"/>
    <n v="9.9789999999999992"/>
    <n v="8"/>
  </r>
  <r>
    <x v="363"/>
    <x v="0"/>
    <x v="0"/>
    <x v="1"/>
    <x v="1"/>
    <x v="2"/>
    <x v="356"/>
    <n v="6"/>
    <n v="21.966000000000001"/>
    <n v="461.286"/>
    <x v="18"/>
    <d v="1899-12-30T17:44:00"/>
    <x v="1"/>
    <n v="439.32"/>
    <n v="4.7619047620000003"/>
    <n v="21.966000000000001"/>
    <n v="7.2"/>
  </r>
  <r>
    <x v="364"/>
    <x v="1"/>
    <x v="1"/>
    <x v="1"/>
    <x v="0"/>
    <x v="4"/>
    <x v="357"/>
    <n v="4"/>
    <n v="8.2479999999999993"/>
    <n v="173.208"/>
    <x v="88"/>
    <d v="1899-12-30T16:23:00"/>
    <x v="1"/>
    <n v="164.96"/>
    <n v="4.7619047620000003"/>
    <n v="8.2479999999999993"/>
    <n v="7.1"/>
  </r>
  <r>
    <x v="365"/>
    <x v="1"/>
    <x v="1"/>
    <x v="1"/>
    <x v="0"/>
    <x v="5"/>
    <x v="358"/>
    <n v="4"/>
    <n v="16.335999999999999"/>
    <n v="343.05599999999998"/>
    <x v="47"/>
    <d v="1899-12-30T12:12:00"/>
    <x v="1"/>
    <n v="326.72000000000003"/>
    <n v="4.7619047620000003"/>
    <n v="16.335999999999999"/>
    <n v="9.1"/>
  </r>
  <r>
    <x v="366"/>
    <x v="1"/>
    <x v="1"/>
    <x v="1"/>
    <x v="0"/>
    <x v="1"/>
    <x v="359"/>
    <n v="9"/>
    <n v="23.094000000000001"/>
    <n v="484.97399999999999"/>
    <x v="86"/>
    <d v="1899-12-30T19:33:00"/>
    <x v="1"/>
    <n v="461.88"/>
    <n v="4.7619047620000003"/>
    <n v="23.094000000000001"/>
    <n v="5.6"/>
  </r>
  <r>
    <x v="367"/>
    <x v="0"/>
    <x v="0"/>
    <x v="0"/>
    <x v="1"/>
    <x v="2"/>
    <x v="256"/>
    <n v="4"/>
    <n v="13.188000000000001"/>
    <n v="276.94799999999998"/>
    <x v="62"/>
    <d v="1899-12-30T10:29:00"/>
    <x v="1"/>
    <n v="263.76"/>
    <n v="4.7619047620000003"/>
    <n v="13.188000000000001"/>
    <n v="6"/>
  </r>
  <r>
    <x v="368"/>
    <x v="1"/>
    <x v="1"/>
    <x v="1"/>
    <x v="0"/>
    <x v="3"/>
    <x v="360"/>
    <n v="10"/>
    <n v="7.18"/>
    <n v="150.78"/>
    <x v="3"/>
    <d v="1899-12-30T14:28:00"/>
    <x v="1"/>
    <n v="143.6"/>
    <n v="4.7619047620000003"/>
    <n v="7.18"/>
    <n v="5.4"/>
  </r>
  <r>
    <x v="369"/>
    <x v="0"/>
    <x v="0"/>
    <x v="0"/>
    <x v="1"/>
    <x v="1"/>
    <x v="361"/>
    <n v="9"/>
    <n v="9.6750000000000007"/>
    <n v="203.17500000000001"/>
    <x v="43"/>
    <d v="1899-12-30T12:46:00"/>
    <x v="2"/>
    <n v="193.5"/>
    <n v="4.7619047620000003"/>
    <n v="9.6750000000000007"/>
    <n v="7.8"/>
  </r>
  <r>
    <x v="370"/>
    <x v="2"/>
    <x v="2"/>
    <x v="0"/>
    <x v="0"/>
    <x v="1"/>
    <x v="362"/>
    <n v="7"/>
    <n v="9.1910000000000007"/>
    <n v="193.011"/>
    <x v="30"/>
    <d v="1899-12-30T19:40:00"/>
    <x v="1"/>
    <n v="183.82"/>
    <n v="4.7619047620000003"/>
    <n v="9.1910000000000007"/>
    <n v="9.9"/>
  </r>
  <r>
    <x v="371"/>
    <x v="2"/>
    <x v="2"/>
    <x v="1"/>
    <x v="0"/>
    <x v="5"/>
    <x v="363"/>
    <n v="2"/>
    <n v="6.0960000000000001"/>
    <n v="128.01599999999999"/>
    <x v="25"/>
    <d v="1899-12-30T19:39:00"/>
    <x v="2"/>
    <n v="121.92"/>
    <n v="4.7619047620000003"/>
    <n v="6.0960000000000001"/>
    <n v="4.9000000000000004"/>
  </r>
  <r>
    <x v="372"/>
    <x v="1"/>
    <x v="1"/>
    <x v="1"/>
    <x v="0"/>
    <x v="2"/>
    <x v="364"/>
    <n v="6"/>
    <n v="21.033000000000001"/>
    <n v="441.69299999999998"/>
    <x v="86"/>
    <d v="1899-12-30T17:54:00"/>
    <x v="0"/>
    <n v="420.66"/>
    <n v="4.7619047620000003"/>
    <n v="21.033000000000001"/>
    <n v="5.2"/>
  </r>
  <r>
    <x v="373"/>
    <x v="1"/>
    <x v="1"/>
    <x v="1"/>
    <x v="1"/>
    <x v="5"/>
    <x v="365"/>
    <n v="6"/>
    <n v="12.624000000000001"/>
    <n v="265.10399999999998"/>
    <x v="71"/>
    <d v="1899-12-30T12:25:00"/>
    <x v="1"/>
    <n v="252.48"/>
    <n v="4.7619047620000003"/>
    <n v="12.624000000000001"/>
    <n v="8.9"/>
  </r>
  <r>
    <x v="374"/>
    <x v="0"/>
    <x v="0"/>
    <x v="1"/>
    <x v="0"/>
    <x v="2"/>
    <x v="366"/>
    <n v="5"/>
    <n v="16.772500000000001"/>
    <n v="352.22250000000003"/>
    <x v="75"/>
    <d v="1899-12-30T16:47:00"/>
    <x v="2"/>
    <n v="335.45"/>
    <n v="4.7619047620000003"/>
    <n v="16.772500000000001"/>
    <n v="9.1"/>
  </r>
  <r>
    <x v="375"/>
    <x v="0"/>
    <x v="0"/>
    <x v="0"/>
    <x v="0"/>
    <x v="5"/>
    <x v="367"/>
    <n v="5"/>
    <n v="24.175000000000001"/>
    <n v="507.67500000000001"/>
    <x v="78"/>
    <d v="1899-12-30T12:52:00"/>
    <x v="0"/>
    <n v="483.5"/>
    <n v="4.7619047620000003"/>
    <n v="24.175000000000001"/>
    <n v="7"/>
  </r>
  <r>
    <x v="376"/>
    <x v="2"/>
    <x v="2"/>
    <x v="0"/>
    <x v="0"/>
    <x v="2"/>
    <x v="368"/>
    <n v="9"/>
    <n v="15.920999999999999"/>
    <n v="334.34100000000001"/>
    <x v="0"/>
    <d v="1899-12-30T19:50:00"/>
    <x v="2"/>
    <n v="318.42"/>
    <n v="4.7619047620000003"/>
    <n v="15.920999999999999"/>
    <n v="9.6"/>
  </r>
  <r>
    <x v="377"/>
    <x v="1"/>
    <x v="1"/>
    <x v="1"/>
    <x v="1"/>
    <x v="3"/>
    <x v="369"/>
    <n v="7"/>
    <n v="33.421500000000002"/>
    <n v="701.85149999999999"/>
    <x v="70"/>
    <d v="1899-12-30T18:17:00"/>
    <x v="0"/>
    <n v="668.43"/>
    <n v="4.7619047620000003"/>
    <n v="33.421500000000002"/>
    <n v="8.6999999999999993"/>
  </r>
  <r>
    <x v="378"/>
    <x v="1"/>
    <x v="1"/>
    <x v="0"/>
    <x v="1"/>
    <x v="5"/>
    <x v="370"/>
    <n v="4"/>
    <n v="19.396000000000001"/>
    <n v="407.31599999999997"/>
    <x v="10"/>
    <d v="1899-12-30T17:20:00"/>
    <x v="0"/>
    <n v="387.92"/>
    <n v="4.7619047620000003"/>
    <n v="19.396000000000001"/>
    <n v="9.4"/>
  </r>
  <r>
    <x v="379"/>
    <x v="2"/>
    <x v="2"/>
    <x v="1"/>
    <x v="0"/>
    <x v="1"/>
    <x v="371"/>
    <n v="4"/>
    <n v="4.7300000000000004"/>
    <n v="99.33"/>
    <x v="74"/>
    <d v="1899-12-30T13:32:00"/>
    <x v="2"/>
    <n v="94.6"/>
    <n v="4.7619047620000003"/>
    <n v="4.7300000000000004"/>
    <n v="4"/>
  </r>
  <r>
    <x v="380"/>
    <x v="0"/>
    <x v="0"/>
    <x v="0"/>
    <x v="1"/>
    <x v="3"/>
    <x v="372"/>
    <n v="4"/>
    <n v="16.466000000000001"/>
    <n v="345.786"/>
    <x v="83"/>
    <d v="1899-12-30T10:37:00"/>
    <x v="2"/>
    <n v="329.32"/>
    <n v="4.7619047620000003"/>
    <n v="16.466000000000001"/>
    <n v="7.5"/>
  </r>
  <r>
    <x v="381"/>
    <x v="1"/>
    <x v="1"/>
    <x v="1"/>
    <x v="0"/>
    <x v="1"/>
    <x v="373"/>
    <n v="2"/>
    <n v="2.661"/>
    <n v="55.881"/>
    <x v="35"/>
    <d v="1899-12-30T14:35:00"/>
    <x v="1"/>
    <n v="53.22"/>
    <n v="4.7619047620000003"/>
    <n v="2.661"/>
    <n v="4.2"/>
  </r>
  <r>
    <x v="382"/>
    <x v="2"/>
    <x v="2"/>
    <x v="1"/>
    <x v="0"/>
    <x v="4"/>
    <x v="374"/>
    <n v="5"/>
    <n v="24.922499999999999"/>
    <n v="523.37249999999995"/>
    <x v="78"/>
    <d v="1899-12-30T12:09:00"/>
    <x v="1"/>
    <n v="498.45"/>
    <n v="4.7619047620000003"/>
    <n v="24.922499999999999"/>
    <n v="9.9"/>
  </r>
  <r>
    <x v="383"/>
    <x v="1"/>
    <x v="1"/>
    <x v="0"/>
    <x v="0"/>
    <x v="4"/>
    <x v="375"/>
    <n v="4"/>
    <n v="14.978"/>
    <n v="314.53800000000001"/>
    <x v="59"/>
    <d v="1899-12-30T15:32:00"/>
    <x v="0"/>
    <n v="299.56"/>
    <n v="4.7619047620000003"/>
    <n v="14.978"/>
    <n v="4.2"/>
  </r>
  <r>
    <x v="384"/>
    <x v="0"/>
    <x v="0"/>
    <x v="1"/>
    <x v="0"/>
    <x v="4"/>
    <x v="376"/>
    <n v="5"/>
    <n v="10.234999999999999"/>
    <n v="214.935"/>
    <x v="47"/>
    <d v="1899-12-30T13:58:00"/>
    <x v="0"/>
    <n v="204.7"/>
    <n v="4.7619047620000003"/>
    <n v="10.234999999999999"/>
    <n v="9.9"/>
  </r>
  <r>
    <x v="385"/>
    <x v="2"/>
    <x v="2"/>
    <x v="0"/>
    <x v="1"/>
    <x v="3"/>
    <x v="377"/>
    <n v="1"/>
    <n v="3.7909999999999999"/>
    <n v="79.611000000000004"/>
    <x v="82"/>
    <d v="1899-12-30T13:19:00"/>
    <x v="1"/>
    <n v="75.819999999999993"/>
    <n v="4.7619047620000003"/>
    <n v="3.7909999999999999"/>
    <n v="5.8"/>
  </r>
  <r>
    <x v="386"/>
    <x v="1"/>
    <x v="1"/>
    <x v="1"/>
    <x v="1"/>
    <x v="4"/>
    <x v="378"/>
    <n v="6"/>
    <n v="14.031000000000001"/>
    <n v="294.65100000000001"/>
    <x v="16"/>
    <d v="1899-12-30T13:37:00"/>
    <x v="1"/>
    <n v="280.62"/>
    <n v="4.7619047620000003"/>
    <n v="14.031000000000001"/>
    <n v="6"/>
  </r>
  <r>
    <x v="387"/>
    <x v="0"/>
    <x v="0"/>
    <x v="1"/>
    <x v="0"/>
    <x v="0"/>
    <x v="379"/>
    <n v="10"/>
    <n v="16.16"/>
    <n v="339.36"/>
    <x v="9"/>
    <d v="1899-12-30T16:49:00"/>
    <x v="2"/>
    <n v="323.2"/>
    <n v="4.7619047620000003"/>
    <n v="16.16"/>
    <n v="10"/>
  </r>
  <r>
    <x v="388"/>
    <x v="1"/>
    <x v="1"/>
    <x v="0"/>
    <x v="0"/>
    <x v="5"/>
    <x v="380"/>
    <n v="9"/>
    <n v="24.331499999999998"/>
    <n v="510.9615"/>
    <x v="3"/>
    <d v="1899-12-30T14:55:00"/>
    <x v="0"/>
    <n v="486.63"/>
    <n v="4.7619047620000003"/>
    <n v="24.331499999999998"/>
    <n v="9.5"/>
  </r>
  <r>
    <x v="389"/>
    <x v="2"/>
    <x v="2"/>
    <x v="1"/>
    <x v="1"/>
    <x v="4"/>
    <x v="381"/>
    <n v="7"/>
    <n v="6.3769999999999998"/>
    <n v="133.917"/>
    <x v="24"/>
    <d v="1899-12-30T14:04:00"/>
    <x v="2"/>
    <n v="127.54"/>
    <n v="4.7619047620000003"/>
    <n v="6.3769999999999998"/>
    <n v="6.6"/>
  </r>
  <r>
    <x v="390"/>
    <x v="1"/>
    <x v="1"/>
    <x v="0"/>
    <x v="0"/>
    <x v="5"/>
    <x v="382"/>
    <n v="3"/>
    <n v="12.071999999999999"/>
    <n v="253.512"/>
    <x v="42"/>
    <d v="1899-12-30T12:31:00"/>
    <x v="1"/>
    <n v="241.44"/>
    <n v="4.7619047620000003"/>
    <n v="12.071999999999999"/>
    <n v="8.1"/>
  </r>
  <r>
    <x v="391"/>
    <x v="2"/>
    <x v="2"/>
    <x v="1"/>
    <x v="0"/>
    <x v="5"/>
    <x v="383"/>
    <n v="10"/>
    <n v="18.975000000000001"/>
    <n v="398.47500000000002"/>
    <x v="53"/>
    <d v="1899-12-30T14:51:00"/>
    <x v="1"/>
    <n v="379.5"/>
    <n v="4.7619047620000003"/>
    <n v="18.975000000000001"/>
    <n v="9.6999999999999993"/>
  </r>
  <r>
    <x v="392"/>
    <x v="0"/>
    <x v="0"/>
    <x v="0"/>
    <x v="1"/>
    <x v="1"/>
    <x v="384"/>
    <n v="1"/>
    <n v="3.8410000000000002"/>
    <n v="80.661000000000001"/>
    <x v="77"/>
    <d v="1899-12-30T18:27:00"/>
    <x v="0"/>
    <n v="76.819999999999993"/>
    <n v="4.7619047620000003"/>
    <n v="3.8410000000000002"/>
    <n v="7.2"/>
  </r>
  <r>
    <x v="393"/>
    <x v="0"/>
    <x v="0"/>
    <x v="0"/>
    <x v="0"/>
    <x v="3"/>
    <x v="385"/>
    <n v="10"/>
    <n v="26.13"/>
    <n v="548.73"/>
    <x v="11"/>
    <d v="1899-12-30T12:45:00"/>
    <x v="2"/>
    <n v="522.6"/>
    <n v="4.7619047620000003"/>
    <n v="26.13"/>
    <n v="6.2"/>
  </r>
  <r>
    <x v="394"/>
    <x v="0"/>
    <x v="0"/>
    <x v="1"/>
    <x v="0"/>
    <x v="0"/>
    <x v="386"/>
    <n v="1"/>
    <n v="3.9870000000000001"/>
    <n v="83.727000000000004"/>
    <x v="43"/>
    <d v="1899-12-30T10:36:00"/>
    <x v="0"/>
    <n v="79.739999999999995"/>
    <n v="4.7619047620000003"/>
    <n v="3.9870000000000001"/>
    <n v="7.3"/>
  </r>
  <r>
    <x v="395"/>
    <x v="0"/>
    <x v="0"/>
    <x v="1"/>
    <x v="0"/>
    <x v="0"/>
    <x v="387"/>
    <n v="5"/>
    <n v="19.375"/>
    <n v="406.875"/>
    <x v="46"/>
    <d v="1899-12-30T20:36:00"/>
    <x v="0"/>
    <n v="387.5"/>
    <n v="4.7619047620000003"/>
    <n v="19.375"/>
    <n v="4.3"/>
  </r>
  <r>
    <x v="396"/>
    <x v="0"/>
    <x v="0"/>
    <x v="1"/>
    <x v="0"/>
    <x v="4"/>
    <x v="388"/>
    <n v="5"/>
    <n v="13.567500000000001"/>
    <n v="284.91750000000002"/>
    <x v="45"/>
    <d v="1899-12-30T14:16:00"/>
    <x v="0"/>
    <n v="271.35000000000002"/>
    <n v="4.7619047620000003"/>
    <n v="13.567500000000001"/>
    <n v="4.5999999999999996"/>
  </r>
  <r>
    <x v="397"/>
    <x v="2"/>
    <x v="2"/>
    <x v="1"/>
    <x v="1"/>
    <x v="2"/>
    <x v="389"/>
    <n v="9"/>
    <n v="6.1154999999999999"/>
    <n v="128.4255"/>
    <x v="20"/>
    <d v="1899-12-30T10:26:00"/>
    <x v="1"/>
    <n v="122.31"/>
    <n v="4.7619047620000003"/>
    <n v="6.1154999999999999"/>
    <n v="5.8"/>
  </r>
  <r>
    <x v="398"/>
    <x v="2"/>
    <x v="2"/>
    <x v="0"/>
    <x v="0"/>
    <x v="0"/>
    <x v="390"/>
    <n v="6"/>
    <n v="12.318"/>
    <n v="258.678"/>
    <x v="19"/>
    <d v="1899-12-30T13:30:00"/>
    <x v="2"/>
    <n v="246.36"/>
    <n v="4.7619047620000003"/>
    <n v="12.318"/>
    <n v="8.3000000000000007"/>
  </r>
  <r>
    <x v="399"/>
    <x v="2"/>
    <x v="2"/>
    <x v="0"/>
    <x v="1"/>
    <x v="1"/>
    <x v="391"/>
    <n v="9"/>
    <n v="8.6579999999999995"/>
    <n v="181.81800000000001"/>
    <x v="31"/>
    <d v="1899-12-30T16:28:00"/>
    <x v="1"/>
    <n v="173.16"/>
    <n v="4.7619047620000003"/>
    <n v="8.6579999999999995"/>
    <n v="8"/>
  </r>
  <r>
    <x v="400"/>
    <x v="1"/>
    <x v="1"/>
    <x v="1"/>
    <x v="0"/>
    <x v="4"/>
    <x v="392"/>
    <n v="6"/>
    <n v="11.829000000000001"/>
    <n v="248.40899999999999"/>
    <x v="5"/>
    <d v="1899-12-30T20:18:00"/>
    <x v="2"/>
    <n v="236.58"/>
    <n v="4.7619047620000003"/>
    <n v="11.829000000000001"/>
    <n v="9.4"/>
  </r>
  <r>
    <x v="401"/>
    <x v="1"/>
    <x v="1"/>
    <x v="1"/>
    <x v="1"/>
    <x v="2"/>
    <x v="393"/>
    <n v="4"/>
    <n v="9.2439999999999998"/>
    <n v="194.124"/>
    <x v="41"/>
    <d v="1899-12-30T20:04:00"/>
    <x v="2"/>
    <n v="184.88"/>
    <n v="4.7619047620000003"/>
    <n v="9.2439999999999998"/>
    <n v="6.2"/>
  </r>
  <r>
    <x v="402"/>
    <x v="1"/>
    <x v="1"/>
    <x v="0"/>
    <x v="1"/>
    <x v="2"/>
    <x v="394"/>
    <n v="1"/>
    <n v="0.69899999999999995"/>
    <n v="14.679"/>
    <x v="87"/>
    <d v="1899-12-30T13:38:00"/>
    <x v="0"/>
    <n v="13.98"/>
    <n v="4.7619047620000003"/>
    <n v="0.69899999999999995"/>
    <n v="9.8000000000000007"/>
  </r>
  <r>
    <x v="403"/>
    <x v="2"/>
    <x v="2"/>
    <x v="1"/>
    <x v="0"/>
    <x v="5"/>
    <x v="395"/>
    <n v="5"/>
    <n v="9.9375"/>
    <n v="208.6875"/>
    <x v="70"/>
    <d v="1899-12-30T10:43:00"/>
    <x v="0"/>
    <n v="198.75"/>
    <n v="4.7619047620000003"/>
    <n v="9.9375"/>
    <n v="9.6"/>
  </r>
  <r>
    <x v="404"/>
    <x v="1"/>
    <x v="1"/>
    <x v="0"/>
    <x v="0"/>
    <x v="5"/>
    <x v="396"/>
    <n v="7"/>
    <n v="34.226500000000001"/>
    <n v="718.75649999999996"/>
    <x v="69"/>
    <d v="1899-12-30T17:30:00"/>
    <x v="0"/>
    <n v="684.53"/>
    <n v="4.7619047620000003"/>
    <n v="34.226500000000001"/>
    <n v="4.9000000000000004"/>
  </r>
  <r>
    <x v="405"/>
    <x v="0"/>
    <x v="0"/>
    <x v="0"/>
    <x v="1"/>
    <x v="3"/>
    <x v="397"/>
    <n v="4"/>
    <n v="13.452"/>
    <n v="282.49200000000002"/>
    <x v="64"/>
    <d v="1899-12-30T15:28:00"/>
    <x v="2"/>
    <n v="269.04000000000002"/>
    <n v="4.7619047620000003"/>
    <n v="13.452"/>
    <n v="8"/>
  </r>
  <r>
    <x v="406"/>
    <x v="0"/>
    <x v="0"/>
    <x v="1"/>
    <x v="1"/>
    <x v="4"/>
    <x v="398"/>
    <n v="5"/>
    <n v="3.4474999999999998"/>
    <n v="72.397499999999994"/>
    <x v="83"/>
    <d v="1899-12-30T19:07:00"/>
    <x v="2"/>
    <n v="68.95"/>
    <n v="4.7619047620000003"/>
    <n v="3.4474999999999998"/>
    <n v="7.8"/>
  </r>
  <r>
    <x v="407"/>
    <x v="2"/>
    <x v="2"/>
    <x v="0"/>
    <x v="0"/>
    <x v="5"/>
    <x v="399"/>
    <n v="4"/>
    <n v="13.742000000000001"/>
    <n v="288.58199999999999"/>
    <x v="72"/>
    <d v="1899-12-30T19:01:00"/>
    <x v="1"/>
    <n v="274.83999999999997"/>
    <n v="4.7619047620000003"/>
    <n v="13.742000000000001"/>
    <n v="4.0999999999999996"/>
  </r>
  <r>
    <x v="408"/>
    <x v="0"/>
    <x v="0"/>
    <x v="1"/>
    <x v="0"/>
    <x v="2"/>
    <x v="400"/>
    <n v="4"/>
    <n v="11.305999999999999"/>
    <n v="237.42599999999999"/>
    <x v="31"/>
    <d v="1899-12-30T19:48:00"/>
    <x v="0"/>
    <n v="226.12"/>
    <n v="4.7619047620000003"/>
    <n v="11.305999999999999"/>
    <n v="5.5"/>
  </r>
  <r>
    <x v="409"/>
    <x v="1"/>
    <x v="1"/>
    <x v="1"/>
    <x v="0"/>
    <x v="5"/>
    <x v="401"/>
    <n v="5"/>
    <n v="5.9550000000000001"/>
    <n v="125.05500000000001"/>
    <x v="26"/>
    <d v="1899-12-30T19:24:00"/>
    <x v="0"/>
    <n v="119.1"/>
    <n v="4.7619047620000003"/>
    <n v="5.9550000000000001"/>
    <n v="5.4"/>
  </r>
  <r>
    <x v="410"/>
    <x v="2"/>
    <x v="2"/>
    <x v="1"/>
    <x v="0"/>
    <x v="0"/>
    <x v="402"/>
    <n v="10"/>
    <n v="17.105"/>
    <n v="359.20499999999998"/>
    <x v="56"/>
    <d v="1899-12-30T13:00:00"/>
    <x v="1"/>
    <n v="342.1"/>
    <n v="4.7619047620000003"/>
    <n v="17.105"/>
    <n v="5.0999999999999996"/>
  </r>
  <r>
    <x v="411"/>
    <x v="2"/>
    <x v="2"/>
    <x v="1"/>
    <x v="1"/>
    <x v="3"/>
    <x v="403"/>
    <n v="2"/>
    <n v="2.1869999999999998"/>
    <n v="45.927"/>
    <x v="25"/>
    <d v="1899-12-30T14:29:00"/>
    <x v="0"/>
    <n v="43.74"/>
    <n v="4.7619047620000003"/>
    <n v="2.1869999999999998"/>
    <n v="6.9"/>
  </r>
  <r>
    <x v="412"/>
    <x v="0"/>
    <x v="0"/>
    <x v="0"/>
    <x v="1"/>
    <x v="0"/>
    <x v="404"/>
    <n v="5"/>
    <n v="5.2424999999999997"/>
    <n v="110.0925"/>
    <x v="72"/>
    <d v="1899-12-30T13:21:00"/>
    <x v="1"/>
    <n v="104.85"/>
    <n v="4.7619047620000003"/>
    <n v="5.2424999999999997"/>
    <n v="7.8"/>
  </r>
  <r>
    <x v="413"/>
    <x v="0"/>
    <x v="0"/>
    <x v="1"/>
    <x v="1"/>
    <x v="3"/>
    <x v="405"/>
    <n v="3"/>
    <n v="3.8759999999999999"/>
    <n v="81.396000000000001"/>
    <x v="24"/>
    <d v="1899-12-30T18:55:00"/>
    <x v="0"/>
    <n v="77.52"/>
    <n v="4.7619047620000003"/>
    <n v="3.8759999999999999"/>
    <n v="6.6"/>
  </r>
  <r>
    <x v="414"/>
    <x v="0"/>
    <x v="0"/>
    <x v="1"/>
    <x v="1"/>
    <x v="2"/>
    <x v="406"/>
    <n v="8"/>
    <n v="20.372"/>
    <n v="427.81200000000001"/>
    <x v="23"/>
    <d v="1899-12-30T19:36:00"/>
    <x v="0"/>
    <n v="407.44"/>
    <n v="4.7619047620000003"/>
    <n v="20.372"/>
    <n v="9.1999999999999993"/>
  </r>
  <r>
    <x v="415"/>
    <x v="2"/>
    <x v="2"/>
    <x v="1"/>
    <x v="1"/>
    <x v="0"/>
    <x v="407"/>
    <n v="1"/>
    <n v="4.8055000000000003"/>
    <n v="100.91549999999999"/>
    <x v="25"/>
    <d v="1899-12-30T16:28:00"/>
    <x v="0"/>
    <n v="96.11"/>
    <n v="4.7619047620000003"/>
    <n v="4.8055000000000003"/>
    <n v="7.8"/>
  </r>
  <r>
    <x v="416"/>
    <x v="1"/>
    <x v="1"/>
    <x v="1"/>
    <x v="0"/>
    <x v="2"/>
    <x v="408"/>
    <n v="4"/>
    <n v="9.0760000000000005"/>
    <n v="190.596"/>
    <x v="66"/>
    <d v="1899-12-30T13:48:00"/>
    <x v="2"/>
    <n v="181.52"/>
    <n v="4.7619047620000003"/>
    <n v="9.0760000000000005"/>
    <n v="8.6999999999999993"/>
  </r>
  <r>
    <x v="417"/>
    <x v="1"/>
    <x v="1"/>
    <x v="0"/>
    <x v="0"/>
    <x v="0"/>
    <x v="409"/>
    <n v="1"/>
    <n v="4.0754999999999999"/>
    <n v="85.585499999999996"/>
    <x v="49"/>
    <d v="1899-12-30T10:57:00"/>
    <x v="0"/>
    <n v="81.510000000000005"/>
    <n v="4.7619047620000003"/>
    <n v="4.0754999999999999"/>
    <n v="9.1999999999999993"/>
  </r>
  <r>
    <x v="418"/>
    <x v="2"/>
    <x v="2"/>
    <x v="1"/>
    <x v="0"/>
    <x v="0"/>
    <x v="410"/>
    <n v="2"/>
    <n v="5.7220000000000004"/>
    <n v="120.16200000000001"/>
    <x v="52"/>
    <d v="1899-12-30T17:13:00"/>
    <x v="0"/>
    <n v="114.44"/>
    <n v="4.7619047620000003"/>
    <n v="5.7220000000000004"/>
    <n v="8.3000000000000007"/>
  </r>
  <r>
    <x v="419"/>
    <x v="0"/>
    <x v="0"/>
    <x v="0"/>
    <x v="0"/>
    <x v="1"/>
    <x v="411"/>
    <n v="7"/>
    <n v="8.827"/>
    <n v="185.36699999999999"/>
    <x v="87"/>
    <d v="1899-12-30T10:23:00"/>
    <x v="1"/>
    <n v="176.54"/>
    <n v="4.7619047620000003"/>
    <n v="8.827"/>
    <n v="8.1999999999999993"/>
  </r>
  <r>
    <x v="420"/>
    <x v="1"/>
    <x v="1"/>
    <x v="0"/>
    <x v="0"/>
    <x v="4"/>
    <x v="412"/>
    <n v="3"/>
    <n v="5.79"/>
    <n v="121.59"/>
    <x v="61"/>
    <d v="1899-12-30T13:57:00"/>
    <x v="0"/>
    <n v="115.8"/>
    <n v="4.7619047620000003"/>
    <n v="5.79"/>
    <n v="7.5"/>
  </r>
  <r>
    <x v="421"/>
    <x v="1"/>
    <x v="1"/>
    <x v="1"/>
    <x v="0"/>
    <x v="1"/>
    <x v="413"/>
    <n v="3"/>
    <n v="12.6075"/>
    <n v="264.75749999999999"/>
    <x v="54"/>
    <d v="1899-12-30T13:29:00"/>
    <x v="1"/>
    <n v="252.15"/>
    <n v="4.7619047620000003"/>
    <n v="12.6075"/>
    <n v="9.8000000000000007"/>
  </r>
  <r>
    <x v="422"/>
    <x v="1"/>
    <x v="1"/>
    <x v="0"/>
    <x v="0"/>
    <x v="5"/>
    <x v="414"/>
    <n v="10"/>
    <n v="48.604999999999997"/>
    <n v="1020.705"/>
    <x v="4"/>
    <d v="1899-12-30T13:00:00"/>
    <x v="2"/>
    <n v="972.1"/>
    <n v="4.7619047620000003"/>
    <n v="48.604999999999997"/>
    <n v="8.6999999999999993"/>
  </r>
  <r>
    <x v="423"/>
    <x v="2"/>
    <x v="2"/>
    <x v="0"/>
    <x v="1"/>
    <x v="5"/>
    <x v="415"/>
    <n v="8"/>
    <n v="10.167999999999999"/>
    <n v="213.52799999999999"/>
    <x v="35"/>
    <d v="1899-12-30T19:42:00"/>
    <x v="2"/>
    <n v="203.36"/>
    <n v="4.7619047620000003"/>
    <n v="10.167999999999999"/>
    <n v="6.7"/>
  </r>
  <r>
    <x v="424"/>
    <x v="1"/>
    <x v="1"/>
    <x v="1"/>
    <x v="1"/>
    <x v="5"/>
    <x v="416"/>
    <n v="1"/>
    <n v="0.81399999999999995"/>
    <n v="17.094000000000001"/>
    <x v="11"/>
    <d v="1899-12-30T15:36:00"/>
    <x v="1"/>
    <n v="16.28"/>
    <n v="4.7619047620000003"/>
    <n v="0.81399999999999995"/>
    <n v="5"/>
  </r>
  <r>
    <x v="425"/>
    <x v="2"/>
    <x v="2"/>
    <x v="0"/>
    <x v="1"/>
    <x v="5"/>
    <x v="417"/>
    <n v="9"/>
    <n v="18.2745"/>
    <n v="383.7645"/>
    <x v="56"/>
    <d v="1899-12-30T13:40:00"/>
    <x v="1"/>
    <n v="365.49"/>
    <n v="4.7619047620000003"/>
    <n v="18.2745"/>
    <n v="7"/>
  </r>
  <r>
    <x v="426"/>
    <x v="0"/>
    <x v="0"/>
    <x v="0"/>
    <x v="1"/>
    <x v="0"/>
    <x v="418"/>
    <n v="7"/>
    <n v="18.609500000000001"/>
    <n v="390.79950000000002"/>
    <x v="18"/>
    <d v="1899-12-30T18:01:00"/>
    <x v="1"/>
    <n v="372.19"/>
    <n v="4.7619047620000003"/>
    <n v="18.609500000000001"/>
    <n v="8.9"/>
  </r>
  <r>
    <x v="427"/>
    <x v="2"/>
    <x v="2"/>
    <x v="0"/>
    <x v="0"/>
    <x v="4"/>
    <x v="419"/>
    <n v="3"/>
    <n v="3.1305000000000001"/>
    <n v="65.740499999999997"/>
    <x v="80"/>
    <d v="1899-12-30T13:53:00"/>
    <x v="2"/>
    <n v="62.61"/>
    <n v="4.7619047620000003"/>
    <n v="3.1305000000000001"/>
    <n v="8"/>
  </r>
  <r>
    <x v="428"/>
    <x v="2"/>
    <x v="2"/>
    <x v="1"/>
    <x v="1"/>
    <x v="3"/>
    <x v="420"/>
    <n v="5"/>
    <n v="16.817499999999999"/>
    <n v="353.16750000000002"/>
    <x v="33"/>
    <d v="1899-12-30T17:27:00"/>
    <x v="1"/>
    <n v="336.35"/>
    <n v="4.7619047620000003"/>
    <n v="16.817499999999999"/>
    <n v="6.9"/>
  </r>
  <r>
    <x v="429"/>
    <x v="0"/>
    <x v="0"/>
    <x v="0"/>
    <x v="0"/>
    <x v="2"/>
    <x v="421"/>
    <n v="10"/>
    <n v="45.325000000000003"/>
    <n v="951.82500000000005"/>
    <x v="1"/>
    <d v="1899-12-30T10:53:00"/>
    <x v="0"/>
    <n v="906.5"/>
    <n v="4.7619047620000003"/>
    <n v="45.325000000000003"/>
    <n v="7.3"/>
  </r>
  <r>
    <x v="430"/>
    <x v="2"/>
    <x v="2"/>
    <x v="1"/>
    <x v="1"/>
    <x v="5"/>
    <x v="422"/>
    <n v="2"/>
    <n v="6.9080000000000004"/>
    <n v="145.06800000000001"/>
    <x v="82"/>
    <d v="1899-12-30T19:48:00"/>
    <x v="2"/>
    <n v="138.16"/>
    <n v="4.7619047620000003"/>
    <n v="6.9080000000000004"/>
    <n v="6.9"/>
  </r>
  <r>
    <x v="431"/>
    <x v="1"/>
    <x v="1"/>
    <x v="1"/>
    <x v="1"/>
    <x v="4"/>
    <x v="423"/>
    <n v="2"/>
    <n v="4.327"/>
    <n v="90.867000000000004"/>
    <x v="1"/>
    <d v="1899-12-30T16:53:00"/>
    <x v="0"/>
    <n v="86.54"/>
    <n v="4.7619047620000003"/>
    <n v="4.327"/>
    <n v="5.7"/>
  </r>
  <r>
    <x v="432"/>
    <x v="0"/>
    <x v="0"/>
    <x v="1"/>
    <x v="0"/>
    <x v="1"/>
    <x v="424"/>
    <n v="6"/>
    <n v="7.0380000000000003"/>
    <n v="147.798"/>
    <x v="50"/>
    <d v="1899-12-30T19:14:00"/>
    <x v="0"/>
    <n v="140.76"/>
    <n v="4.7619047620000003"/>
    <n v="7.0380000000000003"/>
    <n v="6.4"/>
  </r>
  <r>
    <x v="433"/>
    <x v="2"/>
    <x v="2"/>
    <x v="1"/>
    <x v="1"/>
    <x v="5"/>
    <x v="425"/>
    <n v="7"/>
    <n v="33.439"/>
    <n v="702.21900000000005"/>
    <x v="11"/>
    <d v="1899-12-30T14:36:00"/>
    <x v="2"/>
    <n v="668.78"/>
    <n v="4.7619047620000003"/>
    <n v="33.439"/>
    <n v="9.6"/>
  </r>
  <r>
    <x v="434"/>
    <x v="2"/>
    <x v="2"/>
    <x v="1"/>
    <x v="0"/>
    <x v="5"/>
    <x v="426"/>
    <n v="1"/>
    <n v="2.3719999999999999"/>
    <n v="49.811999999999998"/>
    <x v="70"/>
    <d v="1899-12-30T18:19:00"/>
    <x v="2"/>
    <n v="47.44"/>
    <n v="4.7619047620000003"/>
    <n v="2.3719999999999999"/>
    <n v="6.8"/>
  </r>
  <r>
    <x v="435"/>
    <x v="1"/>
    <x v="1"/>
    <x v="1"/>
    <x v="1"/>
    <x v="3"/>
    <x v="427"/>
    <n v="9"/>
    <n v="44.658000000000001"/>
    <n v="937.81799999999998"/>
    <x v="35"/>
    <d v="1899-12-30T19:09:00"/>
    <x v="0"/>
    <n v="893.16"/>
    <n v="4.7619047620000003"/>
    <n v="44.658000000000001"/>
    <n v="9"/>
  </r>
  <r>
    <x v="436"/>
    <x v="1"/>
    <x v="1"/>
    <x v="0"/>
    <x v="1"/>
    <x v="3"/>
    <x v="428"/>
    <n v="4"/>
    <n v="16.585999999999999"/>
    <n v="348.30599999999998"/>
    <x v="40"/>
    <d v="1899-12-30T16:51:00"/>
    <x v="0"/>
    <n v="331.72"/>
    <n v="4.7619047620000003"/>
    <n v="16.585999999999999"/>
    <n v="9.6"/>
  </r>
  <r>
    <x v="437"/>
    <x v="0"/>
    <x v="0"/>
    <x v="1"/>
    <x v="1"/>
    <x v="2"/>
    <x v="429"/>
    <n v="6"/>
    <n v="10.196999999999999"/>
    <n v="214.137"/>
    <x v="1"/>
    <d v="1899-12-30T15:37:00"/>
    <x v="2"/>
    <n v="203.94"/>
    <n v="4.7619047620000003"/>
    <n v="10.196999999999999"/>
    <n v="7.7"/>
  </r>
  <r>
    <x v="438"/>
    <x v="1"/>
    <x v="1"/>
    <x v="0"/>
    <x v="1"/>
    <x v="4"/>
    <x v="430"/>
    <n v="4"/>
    <n v="3.4079999999999999"/>
    <n v="71.567999999999998"/>
    <x v="1"/>
    <d v="1899-12-30T20:15:00"/>
    <x v="0"/>
    <n v="68.16"/>
    <n v="4.7619047620000003"/>
    <n v="3.4079999999999999"/>
    <n v="7"/>
  </r>
  <r>
    <x v="439"/>
    <x v="1"/>
    <x v="1"/>
    <x v="1"/>
    <x v="0"/>
    <x v="1"/>
    <x v="431"/>
    <n v="8"/>
    <n v="16.344000000000001"/>
    <n v="343.22399999999999"/>
    <x v="13"/>
    <d v="1899-12-30T14:38:00"/>
    <x v="2"/>
    <n v="326.88"/>
    <n v="4.7619047620000003"/>
    <n v="16.344000000000001"/>
    <n v="6.5"/>
  </r>
  <r>
    <x v="440"/>
    <x v="1"/>
    <x v="1"/>
    <x v="0"/>
    <x v="1"/>
    <x v="4"/>
    <x v="432"/>
    <n v="5"/>
    <n v="4.3600000000000003"/>
    <n v="91.56"/>
    <x v="15"/>
    <d v="1899-12-30T19:25:00"/>
    <x v="1"/>
    <n v="87.2"/>
    <n v="4.7619047620000003"/>
    <n v="4.3600000000000003"/>
    <n v="8.1"/>
  </r>
  <r>
    <x v="441"/>
    <x v="2"/>
    <x v="2"/>
    <x v="0"/>
    <x v="0"/>
    <x v="3"/>
    <x v="433"/>
    <n v="8"/>
    <n v="35.372"/>
    <n v="742.81200000000001"/>
    <x v="23"/>
    <d v="1899-12-30T19:35:00"/>
    <x v="2"/>
    <n v="707.44"/>
    <n v="4.7619047620000003"/>
    <n v="35.372"/>
    <n v="4.3"/>
  </r>
  <r>
    <x v="442"/>
    <x v="0"/>
    <x v="0"/>
    <x v="0"/>
    <x v="0"/>
    <x v="2"/>
    <x v="434"/>
    <n v="9"/>
    <n v="40.144500000000001"/>
    <n v="843.03449999999998"/>
    <x v="15"/>
    <d v="1899-12-30T15:42:00"/>
    <x v="2"/>
    <n v="802.89"/>
    <n v="4.7619047620000003"/>
    <n v="40.144500000000001"/>
    <n v="6.5"/>
  </r>
  <r>
    <x v="443"/>
    <x v="1"/>
    <x v="1"/>
    <x v="1"/>
    <x v="1"/>
    <x v="5"/>
    <x v="435"/>
    <n v="1"/>
    <n v="0.63900000000000001"/>
    <n v="13.419"/>
    <x v="66"/>
    <d v="1899-12-30T14:11:00"/>
    <x v="0"/>
    <n v="12.78"/>
    <n v="4.7619047620000003"/>
    <n v="0.63900000000000001"/>
    <n v="9.5"/>
  </r>
  <r>
    <x v="444"/>
    <x v="0"/>
    <x v="0"/>
    <x v="1"/>
    <x v="0"/>
    <x v="3"/>
    <x v="436"/>
    <n v="7"/>
    <n v="6.6849999999999996"/>
    <n v="140.38499999999999"/>
    <x v="15"/>
    <d v="1899-12-30T10:43:00"/>
    <x v="1"/>
    <n v="133.69999999999999"/>
    <n v="4.7619047620000003"/>
    <n v="6.6849999999999996"/>
    <n v="9.6999999999999993"/>
  </r>
  <r>
    <x v="445"/>
    <x v="2"/>
    <x v="2"/>
    <x v="0"/>
    <x v="0"/>
    <x v="0"/>
    <x v="198"/>
    <n v="1"/>
    <n v="0.95750000000000002"/>
    <n v="20.107500000000002"/>
    <x v="26"/>
    <d v="1899-12-30T17:58:00"/>
    <x v="2"/>
    <n v="19.149999999999999"/>
    <n v="4.7619047620000003"/>
    <n v="0.95750000000000002"/>
    <n v="9.5"/>
  </r>
  <r>
    <x v="446"/>
    <x v="1"/>
    <x v="1"/>
    <x v="0"/>
    <x v="1"/>
    <x v="4"/>
    <x v="437"/>
    <n v="10"/>
    <n v="13.83"/>
    <n v="290.43"/>
    <x v="44"/>
    <d v="1899-12-30T11:26:00"/>
    <x v="2"/>
    <n v="276.60000000000002"/>
    <n v="4.7619047620000003"/>
    <n v="13.83"/>
    <n v="8.9"/>
  </r>
  <r>
    <x v="447"/>
    <x v="1"/>
    <x v="1"/>
    <x v="1"/>
    <x v="1"/>
    <x v="5"/>
    <x v="438"/>
    <n v="3"/>
    <n v="6.8609999999999998"/>
    <n v="144.08099999999999"/>
    <x v="24"/>
    <d v="1899-12-30T17:38:00"/>
    <x v="2"/>
    <n v="137.22"/>
    <n v="4.7619047620000003"/>
    <n v="6.8609999999999998"/>
    <n v="6.5"/>
  </r>
  <r>
    <x v="448"/>
    <x v="2"/>
    <x v="2"/>
    <x v="0"/>
    <x v="0"/>
    <x v="0"/>
    <x v="439"/>
    <n v="1"/>
    <n v="1.3534999999999999"/>
    <n v="28.423500000000001"/>
    <x v="52"/>
    <d v="1899-12-30T20:07:00"/>
    <x v="2"/>
    <n v="27.07"/>
    <n v="4.7619047620000003"/>
    <n v="1.3534999999999999"/>
    <n v="5.3"/>
  </r>
  <r>
    <x v="449"/>
    <x v="2"/>
    <x v="2"/>
    <x v="0"/>
    <x v="0"/>
    <x v="3"/>
    <x v="440"/>
    <n v="1"/>
    <n v="1.956"/>
    <n v="41.076000000000001"/>
    <x v="58"/>
    <d v="1899-12-30T11:02:00"/>
    <x v="2"/>
    <n v="39.119999999999997"/>
    <n v="4.7619047620000003"/>
    <n v="1.956"/>
    <n v="9.6"/>
  </r>
  <r>
    <x v="450"/>
    <x v="2"/>
    <x v="2"/>
    <x v="1"/>
    <x v="0"/>
    <x v="1"/>
    <x v="441"/>
    <n v="6"/>
    <n v="22.413"/>
    <n v="470.673"/>
    <x v="17"/>
    <d v="1899-12-30T19:07:00"/>
    <x v="1"/>
    <n v="448.26"/>
    <n v="4.7619047620000003"/>
    <n v="22.413"/>
    <n v="6.7"/>
  </r>
  <r>
    <x v="451"/>
    <x v="2"/>
    <x v="2"/>
    <x v="1"/>
    <x v="1"/>
    <x v="1"/>
    <x v="442"/>
    <n v="6"/>
    <n v="6.6029999999999998"/>
    <n v="138.66300000000001"/>
    <x v="56"/>
    <d v="1899-12-30T18:50:00"/>
    <x v="1"/>
    <n v="132.06"/>
    <n v="4.7619047620000003"/>
    <n v="6.6029999999999998"/>
    <n v="7.6"/>
  </r>
  <r>
    <x v="452"/>
    <x v="0"/>
    <x v="0"/>
    <x v="1"/>
    <x v="0"/>
    <x v="4"/>
    <x v="443"/>
    <n v="5"/>
    <n v="15.9025"/>
    <n v="333.95249999999999"/>
    <x v="32"/>
    <d v="1899-12-30T12:43:00"/>
    <x v="0"/>
    <n v="318.05"/>
    <n v="4.7619047620000003"/>
    <n v="15.9025"/>
    <n v="4.8"/>
  </r>
  <r>
    <x v="453"/>
    <x v="0"/>
    <x v="0"/>
    <x v="1"/>
    <x v="1"/>
    <x v="0"/>
    <x v="444"/>
    <n v="1"/>
    <n v="1.25"/>
    <n v="26.25"/>
    <x v="2"/>
    <d v="1899-12-30T15:09:00"/>
    <x v="0"/>
    <n v="25"/>
    <n v="4.7619047620000003"/>
    <n v="1.25"/>
    <n v="5.5"/>
  </r>
  <r>
    <x v="454"/>
    <x v="0"/>
    <x v="0"/>
    <x v="0"/>
    <x v="1"/>
    <x v="1"/>
    <x v="445"/>
    <n v="4"/>
    <n v="4.1539999999999999"/>
    <n v="87.233999999999995"/>
    <x v="82"/>
    <d v="1899-12-30T13:47:00"/>
    <x v="1"/>
    <n v="83.08"/>
    <n v="4.7619047620000003"/>
    <n v="4.1539999999999999"/>
    <n v="4.7"/>
  </r>
  <r>
    <x v="455"/>
    <x v="2"/>
    <x v="2"/>
    <x v="0"/>
    <x v="0"/>
    <x v="5"/>
    <x v="446"/>
    <n v="5"/>
    <n v="7.39"/>
    <n v="155.19"/>
    <x v="77"/>
    <d v="1899-12-30T16:59:00"/>
    <x v="1"/>
    <n v="147.80000000000001"/>
    <n v="4.7619047620000003"/>
    <n v="7.39"/>
    <n v="6.9"/>
  </r>
  <r>
    <x v="456"/>
    <x v="2"/>
    <x v="2"/>
    <x v="0"/>
    <x v="0"/>
    <x v="4"/>
    <x v="447"/>
    <n v="9"/>
    <n v="34.83"/>
    <n v="731.43"/>
    <x v="42"/>
    <d v="1899-12-30T14:15:00"/>
    <x v="2"/>
    <n v="696.6"/>
    <n v="4.7619047620000003"/>
    <n v="34.83"/>
    <n v="4.5"/>
  </r>
  <r>
    <x v="457"/>
    <x v="2"/>
    <x v="2"/>
    <x v="1"/>
    <x v="1"/>
    <x v="1"/>
    <x v="448"/>
    <n v="10"/>
    <n v="39.695"/>
    <n v="833.59500000000003"/>
    <x v="13"/>
    <d v="1899-12-30T20:24:00"/>
    <x v="1"/>
    <n v="793.9"/>
    <n v="4.7619047620000003"/>
    <n v="39.695"/>
    <n v="6.2"/>
  </r>
  <r>
    <x v="458"/>
    <x v="1"/>
    <x v="1"/>
    <x v="0"/>
    <x v="0"/>
    <x v="1"/>
    <x v="449"/>
    <n v="10"/>
    <n v="23.285"/>
    <n v="488.98500000000001"/>
    <x v="3"/>
    <d v="1899-12-30T13:58:00"/>
    <x v="1"/>
    <n v="465.7"/>
    <n v="4.7619047620000003"/>
    <n v="23.285"/>
    <n v="7.6"/>
  </r>
  <r>
    <x v="459"/>
    <x v="1"/>
    <x v="1"/>
    <x v="1"/>
    <x v="1"/>
    <x v="4"/>
    <x v="450"/>
    <n v="1"/>
    <n v="1.7945"/>
    <n v="37.6845"/>
    <x v="55"/>
    <d v="1899-12-30T16:52:00"/>
    <x v="2"/>
    <n v="35.89"/>
    <n v="4.7619047620000003"/>
    <n v="1.7945"/>
    <n v="7.9"/>
  </r>
  <r>
    <x v="460"/>
    <x v="1"/>
    <x v="1"/>
    <x v="1"/>
    <x v="1"/>
    <x v="4"/>
    <x v="451"/>
    <n v="5"/>
    <n v="10.130000000000001"/>
    <n v="212.73"/>
    <x v="36"/>
    <d v="1899-12-30T15:19:00"/>
    <x v="1"/>
    <n v="202.6"/>
    <n v="4.7619047620000003"/>
    <n v="10.130000000000001"/>
    <n v="4.5"/>
  </r>
  <r>
    <x v="461"/>
    <x v="2"/>
    <x v="2"/>
    <x v="0"/>
    <x v="0"/>
    <x v="4"/>
    <x v="452"/>
    <n v="10"/>
    <n v="36.524999999999999"/>
    <n v="767.02499999999998"/>
    <x v="2"/>
    <d v="1899-12-30T12:25:00"/>
    <x v="2"/>
    <n v="730.5"/>
    <n v="4.7619047620000003"/>
    <n v="36.524999999999999"/>
    <n v="8.6999999999999993"/>
  </r>
  <r>
    <x v="462"/>
    <x v="1"/>
    <x v="1"/>
    <x v="1"/>
    <x v="0"/>
    <x v="3"/>
    <x v="453"/>
    <n v="4"/>
    <n v="14.79"/>
    <n v="310.58999999999997"/>
    <x v="36"/>
    <d v="1899-12-30T10:02:00"/>
    <x v="1"/>
    <n v="295.8"/>
    <n v="4.7619047620000003"/>
    <n v="14.79"/>
    <n v="6.1"/>
  </r>
  <r>
    <x v="463"/>
    <x v="1"/>
    <x v="1"/>
    <x v="0"/>
    <x v="0"/>
    <x v="4"/>
    <x v="454"/>
    <n v="1"/>
    <n v="1.131"/>
    <n v="23.751000000000001"/>
    <x v="85"/>
    <d v="1899-12-30T18:58:00"/>
    <x v="1"/>
    <n v="22.62"/>
    <n v="4.7619047620000003"/>
    <n v="1.131"/>
    <n v="6.4"/>
  </r>
  <r>
    <x v="464"/>
    <x v="0"/>
    <x v="0"/>
    <x v="0"/>
    <x v="1"/>
    <x v="4"/>
    <x v="455"/>
    <n v="5"/>
    <n v="12.835000000000001"/>
    <n v="269.53500000000003"/>
    <x v="61"/>
    <d v="1899-12-30T15:31:00"/>
    <x v="2"/>
    <n v="256.7"/>
    <n v="4.7619047620000003"/>
    <n v="12.835000000000001"/>
    <n v="9.1"/>
  </r>
  <r>
    <x v="465"/>
    <x v="1"/>
    <x v="1"/>
    <x v="0"/>
    <x v="0"/>
    <x v="3"/>
    <x v="456"/>
    <n v="10"/>
    <n v="27.274999999999999"/>
    <n v="572.77499999999998"/>
    <x v="22"/>
    <d v="1899-12-30T11:22:00"/>
    <x v="2"/>
    <n v="545.5"/>
    <n v="4.7619047620000003"/>
    <n v="27.274999999999999"/>
    <n v="7.1"/>
  </r>
  <r>
    <x v="466"/>
    <x v="1"/>
    <x v="1"/>
    <x v="0"/>
    <x v="0"/>
    <x v="0"/>
    <x v="457"/>
    <n v="7"/>
    <n v="13.0025"/>
    <n v="273.05250000000001"/>
    <x v="4"/>
    <d v="1899-12-30T13:12:00"/>
    <x v="2"/>
    <n v="260.05"/>
    <n v="4.7619047620000003"/>
    <n v="13.0025"/>
    <n v="7.7"/>
  </r>
  <r>
    <x v="467"/>
    <x v="2"/>
    <x v="2"/>
    <x v="1"/>
    <x v="1"/>
    <x v="3"/>
    <x v="458"/>
    <n v="6"/>
    <n v="11.106"/>
    <n v="233.226"/>
    <x v="23"/>
    <d v="1899-12-30T18:33:00"/>
    <x v="1"/>
    <n v="222.12"/>
    <n v="4.7619047620000003"/>
    <n v="11.106"/>
    <n v="4.5"/>
  </r>
  <r>
    <x v="468"/>
    <x v="1"/>
    <x v="1"/>
    <x v="1"/>
    <x v="1"/>
    <x v="4"/>
    <x v="459"/>
    <n v="1"/>
    <n v="1.079"/>
    <n v="22.658999999999999"/>
    <x v="57"/>
    <d v="1899-12-30T10:02:00"/>
    <x v="0"/>
    <n v="21.58"/>
    <n v="4.7619047620000003"/>
    <n v="1.079"/>
    <n v="7.2"/>
  </r>
  <r>
    <x v="469"/>
    <x v="1"/>
    <x v="1"/>
    <x v="0"/>
    <x v="0"/>
    <x v="1"/>
    <x v="460"/>
    <n v="1"/>
    <n v="4.9420000000000002"/>
    <n v="103.782"/>
    <x v="42"/>
    <d v="1899-12-30T11:21:00"/>
    <x v="1"/>
    <n v="98.84"/>
    <n v="4.7619047620000003"/>
    <n v="4.9420000000000002"/>
    <n v="8.4"/>
  </r>
  <r>
    <x v="470"/>
    <x v="1"/>
    <x v="1"/>
    <x v="0"/>
    <x v="0"/>
    <x v="2"/>
    <x v="461"/>
    <n v="6"/>
    <n v="25.131"/>
    <n v="527.75099999999998"/>
    <x v="54"/>
    <d v="1899-12-30T12:10:00"/>
    <x v="0"/>
    <n v="502.62"/>
    <n v="4.7619047620000003"/>
    <n v="25.131"/>
    <n v="5.4"/>
  </r>
  <r>
    <x v="471"/>
    <x v="0"/>
    <x v="0"/>
    <x v="0"/>
    <x v="0"/>
    <x v="3"/>
    <x v="462"/>
    <n v="4"/>
    <n v="8.01"/>
    <n v="168.21"/>
    <x v="25"/>
    <d v="1899-12-30T11:40:00"/>
    <x v="1"/>
    <n v="160.19999999999999"/>
    <n v="4.7619047620000003"/>
    <n v="8.01"/>
    <n v="9.6999999999999993"/>
  </r>
  <r>
    <x v="472"/>
    <x v="0"/>
    <x v="0"/>
    <x v="0"/>
    <x v="1"/>
    <x v="5"/>
    <x v="463"/>
    <n v="10"/>
    <n v="21.565000000000001"/>
    <n v="452.86500000000001"/>
    <x v="30"/>
    <d v="1899-12-30T18:31:00"/>
    <x v="2"/>
    <n v="431.3"/>
    <n v="4.7619047620000003"/>
    <n v="21.565000000000001"/>
    <n v="5.5"/>
  </r>
  <r>
    <x v="473"/>
    <x v="2"/>
    <x v="2"/>
    <x v="0"/>
    <x v="1"/>
    <x v="0"/>
    <x v="464"/>
    <n v="8"/>
    <n v="29.027999999999999"/>
    <n v="609.58799999999997"/>
    <x v="73"/>
    <d v="1899-12-30T17:58:00"/>
    <x v="1"/>
    <n v="580.55999999999995"/>
    <n v="4.7619047620000003"/>
    <n v="29.027999999999999"/>
    <n v="4.5999999999999996"/>
  </r>
  <r>
    <x v="474"/>
    <x v="0"/>
    <x v="0"/>
    <x v="0"/>
    <x v="0"/>
    <x v="1"/>
    <x v="465"/>
    <n v="5"/>
    <n v="16.11"/>
    <n v="338.31"/>
    <x v="73"/>
    <d v="1899-12-30T17:04:00"/>
    <x v="1"/>
    <n v="322.2"/>
    <n v="4.7619047620000003"/>
    <n v="16.11"/>
    <n v="6.6"/>
  </r>
  <r>
    <x v="475"/>
    <x v="0"/>
    <x v="0"/>
    <x v="1"/>
    <x v="1"/>
    <x v="0"/>
    <x v="466"/>
    <n v="3"/>
    <n v="9.7769999999999992"/>
    <n v="205.31700000000001"/>
    <x v="6"/>
    <d v="1899-12-30T20:35:00"/>
    <x v="2"/>
    <n v="195.54"/>
    <n v="4.7619047620000003"/>
    <n v="9.7769999999999992"/>
    <n v="6.3"/>
  </r>
  <r>
    <x v="476"/>
    <x v="0"/>
    <x v="0"/>
    <x v="1"/>
    <x v="0"/>
    <x v="3"/>
    <x v="467"/>
    <n v="5"/>
    <n v="8.3149999999999995"/>
    <n v="174.61500000000001"/>
    <x v="79"/>
    <d v="1899-12-30T16:10:00"/>
    <x v="2"/>
    <n v="166.3"/>
    <n v="4.7619047620000003"/>
    <n v="8.3149999999999995"/>
    <n v="4.2"/>
  </r>
  <r>
    <x v="477"/>
    <x v="1"/>
    <x v="1"/>
    <x v="1"/>
    <x v="1"/>
    <x v="1"/>
    <x v="468"/>
    <n v="4"/>
    <n v="16.814"/>
    <n v="353.09399999999999"/>
    <x v="37"/>
    <d v="1899-12-30T16:54:00"/>
    <x v="0"/>
    <n v="336.28"/>
    <n v="4.7619047620000003"/>
    <n v="16.814"/>
    <n v="4.4000000000000004"/>
  </r>
  <r>
    <x v="478"/>
    <x v="2"/>
    <x v="2"/>
    <x v="1"/>
    <x v="1"/>
    <x v="3"/>
    <x v="469"/>
    <n v="10"/>
    <n v="17.184999999999999"/>
    <n v="360.88499999999999"/>
    <x v="32"/>
    <d v="1899-12-30T10:11:00"/>
    <x v="0"/>
    <n v="343.7"/>
    <n v="4.7619047620000003"/>
    <n v="17.184999999999999"/>
    <n v="6.7"/>
  </r>
  <r>
    <x v="479"/>
    <x v="0"/>
    <x v="0"/>
    <x v="1"/>
    <x v="1"/>
    <x v="1"/>
    <x v="412"/>
    <n v="1"/>
    <n v="1.93"/>
    <n v="40.53"/>
    <x v="71"/>
    <d v="1899-12-30T11:26:00"/>
    <x v="0"/>
    <n v="38.6"/>
    <n v="4.7619047620000003"/>
    <n v="1.93"/>
    <n v="6.7"/>
  </r>
  <r>
    <x v="480"/>
    <x v="1"/>
    <x v="1"/>
    <x v="1"/>
    <x v="1"/>
    <x v="4"/>
    <x v="470"/>
    <n v="8"/>
    <n v="26.388000000000002"/>
    <n v="554.14800000000002"/>
    <x v="30"/>
    <d v="1899-12-30T20:29:00"/>
    <x v="1"/>
    <n v="527.76"/>
    <n v="4.7619047620000003"/>
    <n v="26.388000000000002"/>
    <n v="8.4"/>
  </r>
  <r>
    <x v="481"/>
    <x v="1"/>
    <x v="1"/>
    <x v="1"/>
    <x v="0"/>
    <x v="1"/>
    <x v="471"/>
    <n v="10"/>
    <n v="16.399999999999999"/>
    <n v="344.4"/>
    <x v="42"/>
    <d v="1899-12-30T12:12:00"/>
    <x v="1"/>
    <n v="328"/>
    <n v="4.7619047620000003"/>
    <n v="16.399999999999999"/>
    <n v="6.2"/>
  </r>
  <r>
    <x v="482"/>
    <x v="0"/>
    <x v="0"/>
    <x v="1"/>
    <x v="1"/>
    <x v="3"/>
    <x v="472"/>
    <n v="5"/>
    <n v="9.2850000000000001"/>
    <n v="194.98500000000001"/>
    <x v="66"/>
    <d v="1899-12-30T13:05:00"/>
    <x v="0"/>
    <n v="185.7"/>
    <n v="4.7619047620000003"/>
    <n v="9.2850000000000001"/>
    <n v="5"/>
  </r>
  <r>
    <x v="483"/>
    <x v="2"/>
    <x v="2"/>
    <x v="0"/>
    <x v="1"/>
    <x v="2"/>
    <x v="473"/>
    <n v="10"/>
    <n v="30.19"/>
    <n v="633.99"/>
    <x v="12"/>
    <d v="1899-12-30T16:19:00"/>
    <x v="1"/>
    <n v="603.79999999999995"/>
    <n v="4.7619047620000003"/>
    <n v="30.19"/>
    <n v="6"/>
  </r>
  <r>
    <x v="484"/>
    <x v="1"/>
    <x v="1"/>
    <x v="0"/>
    <x v="0"/>
    <x v="3"/>
    <x v="474"/>
    <n v="10"/>
    <n v="18.489999999999998"/>
    <n v="388.29"/>
    <x v="17"/>
    <d v="1899-12-30T19:48:00"/>
    <x v="2"/>
    <n v="369.8"/>
    <n v="4.7619047620000003"/>
    <n v="18.489999999999998"/>
    <n v="7"/>
  </r>
  <r>
    <x v="485"/>
    <x v="2"/>
    <x v="2"/>
    <x v="0"/>
    <x v="0"/>
    <x v="3"/>
    <x v="475"/>
    <n v="4"/>
    <n v="9.8979999999999997"/>
    <n v="207.858"/>
    <x v="76"/>
    <d v="1899-12-30T15:25:00"/>
    <x v="0"/>
    <n v="197.96"/>
    <n v="4.7619047620000003"/>
    <n v="9.8979999999999997"/>
    <n v="6.6"/>
  </r>
  <r>
    <x v="486"/>
    <x v="2"/>
    <x v="2"/>
    <x v="1"/>
    <x v="0"/>
    <x v="5"/>
    <x v="476"/>
    <n v="10"/>
    <n v="20.545000000000002"/>
    <n v="431.44499999999999"/>
    <x v="38"/>
    <d v="1899-12-30T14:42:00"/>
    <x v="1"/>
    <n v="410.9"/>
    <n v="4.7619047620000003"/>
    <n v="20.545000000000002"/>
    <n v="7.3"/>
  </r>
  <r>
    <x v="487"/>
    <x v="0"/>
    <x v="0"/>
    <x v="1"/>
    <x v="1"/>
    <x v="5"/>
    <x v="457"/>
    <n v="4"/>
    <n v="7.43"/>
    <n v="156.03"/>
    <x v="28"/>
    <d v="1899-12-30T18:59:00"/>
    <x v="0"/>
    <n v="148.6"/>
    <n v="4.7619047620000003"/>
    <n v="7.43"/>
    <n v="8.3000000000000007"/>
  </r>
  <r>
    <x v="488"/>
    <x v="1"/>
    <x v="1"/>
    <x v="1"/>
    <x v="1"/>
    <x v="2"/>
    <x v="477"/>
    <n v="1"/>
    <n v="1.1479999999999999"/>
    <n v="24.108000000000001"/>
    <x v="74"/>
    <d v="1899-12-30T20:47:00"/>
    <x v="1"/>
    <n v="22.96"/>
    <n v="4.7619047620000003"/>
    <n v="1.1479999999999999"/>
    <n v="4.3"/>
  </r>
  <r>
    <x v="489"/>
    <x v="2"/>
    <x v="2"/>
    <x v="0"/>
    <x v="0"/>
    <x v="2"/>
    <x v="478"/>
    <n v="9"/>
    <n v="34.956000000000003"/>
    <n v="734.07600000000002"/>
    <x v="87"/>
    <d v="1899-12-30T13:21:00"/>
    <x v="0"/>
    <n v="699.12"/>
    <n v="4.7619047620000003"/>
    <n v="34.956000000000003"/>
    <n v="9.8000000000000007"/>
  </r>
  <r>
    <x v="490"/>
    <x v="2"/>
    <x v="2"/>
    <x v="1"/>
    <x v="0"/>
    <x v="5"/>
    <x v="479"/>
    <n v="2"/>
    <n v="3.47"/>
    <n v="72.87"/>
    <x v="45"/>
    <d v="1899-12-30T19:48:00"/>
    <x v="0"/>
    <n v="69.400000000000006"/>
    <n v="4.7619047620000003"/>
    <n v="3.47"/>
    <n v="8.1999999999999993"/>
  </r>
  <r>
    <x v="491"/>
    <x v="0"/>
    <x v="0"/>
    <x v="0"/>
    <x v="0"/>
    <x v="5"/>
    <x v="480"/>
    <n v="10"/>
    <n v="9.83"/>
    <n v="206.43"/>
    <x v="20"/>
    <d v="1899-12-30T18:20:00"/>
    <x v="2"/>
    <n v="196.6"/>
    <n v="4.7619047620000003"/>
    <n v="9.83"/>
    <n v="7.2"/>
  </r>
  <r>
    <x v="492"/>
    <x v="2"/>
    <x v="2"/>
    <x v="0"/>
    <x v="0"/>
    <x v="0"/>
    <x v="481"/>
    <n v="8"/>
    <n v="10.128"/>
    <n v="212.68799999999999"/>
    <x v="19"/>
    <d v="1899-12-30T20:24:00"/>
    <x v="0"/>
    <n v="202.56"/>
    <n v="4.7619047620000003"/>
    <n v="10.128"/>
    <n v="8.6999999999999993"/>
  </r>
  <r>
    <x v="493"/>
    <x v="1"/>
    <x v="1"/>
    <x v="0"/>
    <x v="0"/>
    <x v="2"/>
    <x v="482"/>
    <n v="10"/>
    <n v="6.06"/>
    <n v="127.26"/>
    <x v="19"/>
    <d v="1899-12-30T13:44:00"/>
    <x v="2"/>
    <n v="121.2"/>
    <n v="4.7619047620000003"/>
    <n v="6.06"/>
    <n v="8.4"/>
  </r>
  <r>
    <x v="494"/>
    <x v="2"/>
    <x v="2"/>
    <x v="1"/>
    <x v="1"/>
    <x v="5"/>
    <x v="483"/>
    <n v="2"/>
    <n v="9.9890000000000008"/>
    <n v="209.76900000000001"/>
    <x v="84"/>
    <d v="1899-12-30T11:48:00"/>
    <x v="0"/>
    <n v="199.78"/>
    <n v="4.7619047620000003"/>
    <n v="9.9890000000000008"/>
    <n v="7.1"/>
  </r>
  <r>
    <x v="495"/>
    <x v="2"/>
    <x v="2"/>
    <x v="1"/>
    <x v="1"/>
    <x v="3"/>
    <x v="484"/>
    <n v="8"/>
    <n v="30.367999999999999"/>
    <n v="637.72799999999995"/>
    <x v="80"/>
    <d v="1899-12-30T14:14:00"/>
    <x v="1"/>
    <n v="607.36"/>
    <n v="4.7619047620000003"/>
    <n v="30.367999999999999"/>
    <n v="5.5"/>
  </r>
  <r>
    <x v="496"/>
    <x v="1"/>
    <x v="1"/>
    <x v="1"/>
    <x v="0"/>
    <x v="1"/>
    <x v="485"/>
    <n v="2"/>
    <n v="6.3220000000000001"/>
    <n v="132.762"/>
    <x v="17"/>
    <d v="1899-12-30T15:51:00"/>
    <x v="1"/>
    <n v="126.44"/>
    <n v="4.7619047620000003"/>
    <n v="6.3220000000000001"/>
    <n v="8.5"/>
  </r>
  <r>
    <x v="497"/>
    <x v="1"/>
    <x v="1"/>
    <x v="1"/>
    <x v="0"/>
    <x v="4"/>
    <x v="486"/>
    <n v="6"/>
    <n v="27.071999999999999"/>
    <n v="568.51199999999994"/>
    <x v="3"/>
    <d v="1899-12-30T11:17:00"/>
    <x v="1"/>
    <n v="541.44000000000005"/>
    <n v="4.7619047620000003"/>
    <n v="27.071999999999999"/>
    <n v="6.2"/>
  </r>
  <r>
    <x v="498"/>
    <x v="2"/>
    <x v="2"/>
    <x v="0"/>
    <x v="0"/>
    <x v="3"/>
    <x v="487"/>
    <n v="1"/>
    <n v="4.9065000000000003"/>
    <n v="103.0365"/>
    <x v="18"/>
    <d v="1899-12-30T17:36:00"/>
    <x v="1"/>
    <n v="98.13"/>
    <n v="4.7619047620000003"/>
    <n v="4.9065000000000003"/>
    <n v="8.9"/>
  </r>
  <r>
    <x v="499"/>
    <x v="0"/>
    <x v="0"/>
    <x v="0"/>
    <x v="0"/>
    <x v="3"/>
    <x v="488"/>
    <n v="8"/>
    <n v="20.608000000000001"/>
    <n v="432.76799999999997"/>
    <x v="30"/>
    <d v="1899-12-30T15:47:00"/>
    <x v="1"/>
    <n v="412.16"/>
    <n v="4.7619047620000003"/>
    <n v="20.608000000000001"/>
    <n v="9.6"/>
  </r>
  <r>
    <x v="500"/>
    <x v="2"/>
    <x v="2"/>
    <x v="0"/>
    <x v="1"/>
    <x v="3"/>
    <x v="489"/>
    <n v="1"/>
    <n v="3.6985000000000001"/>
    <n v="77.668499999999995"/>
    <x v="36"/>
    <d v="1899-12-30T15:53:00"/>
    <x v="2"/>
    <n v="73.97"/>
    <n v="4.7619047620000003"/>
    <n v="3.6985000000000001"/>
    <n v="5.4"/>
  </r>
  <r>
    <x v="501"/>
    <x v="1"/>
    <x v="1"/>
    <x v="0"/>
    <x v="0"/>
    <x v="5"/>
    <x v="490"/>
    <n v="1"/>
    <n v="1.595"/>
    <n v="33.494999999999997"/>
    <x v="0"/>
    <d v="1899-12-30T12:40:00"/>
    <x v="0"/>
    <n v="31.9"/>
    <n v="4.7619047620000003"/>
    <n v="1.595"/>
    <n v="9.1"/>
  </r>
  <r>
    <x v="502"/>
    <x v="1"/>
    <x v="1"/>
    <x v="1"/>
    <x v="1"/>
    <x v="2"/>
    <x v="491"/>
    <n v="2"/>
    <n v="6.94"/>
    <n v="145.74"/>
    <x v="3"/>
    <d v="1899-12-30T19:48:00"/>
    <x v="0"/>
    <n v="138.80000000000001"/>
    <n v="4.7619047620000003"/>
    <n v="6.94"/>
    <n v="9"/>
  </r>
  <r>
    <x v="503"/>
    <x v="2"/>
    <x v="2"/>
    <x v="1"/>
    <x v="0"/>
    <x v="3"/>
    <x v="492"/>
    <n v="2"/>
    <n v="9.3309999999999995"/>
    <n v="195.95099999999999"/>
    <x v="5"/>
    <d v="1899-12-30T17:53:00"/>
    <x v="1"/>
    <n v="186.62"/>
    <n v="4.7619047620000003"/>
    <n v="9.3309999999999995"/>
    <n v="6.3"/>
  </r>
  <r>
    <x v="504"/>
    <x v="2"/>
    <x v="2"/>
    <x v="1"/>
    <x v="1"/>
    <x v="3"/>
    <x v="493"/>
    <n v="1"/>
    <n v="4.4225000000000003"/>
    <n v="92.872500000000002"/>
    <x v="6"/>
    <d v="1899-12-30T16:36:00"/>
    <x v="2"/>
    <n v="88.45"/>
    <n v="4.7619047620000003"/>
    <n v="4.4225000000000003"/>
    <n v="9.5"/>
  </r>
  <r>
    <x v="505"/>
    <x v="0"/>
    <x v="0"/>
    <x v="0"/>
    <x v="1"/>
    <x v="1"/>
    <x v="494"/>
    <n v="8"/>
    <n v="9.6720000000000006"/>
    <n v="203.11199999999999"/>
    <x v="26"/>
    <d v="1899-12-30T20:54:00"/>
    <x v="0"/>
    <n v="193.44"/>
    <n v="4.7619047620000003"/>
    <n v="9.6720000000000006"/>
    <n v="9.8000000000000007"/>
  </r>
  <r>
    <x v="506"/>
    <x v="2"/>
    <x v="2"/>
    <x v="0"/>
    <x v="0"/>
    <x v="3"/>
    <x v="495"/>
    <n v="3"/>
    <n v="7.2750000000000004"/>
    <n v="152.77500000000001"/>
    <x v="66"/>
    <d v="1899-12-30T12:50:00"/>
    <x v="1"/>
    <n v="145.5"/>
    <n v="4.7619047620000003"/>
    <n v="7.2750000000000004"/>
    <n v="6.7"/>
  </r>
  <r>
    <x v="507"/>
    <x v="2"/>
    <x v="2"/>
    <x v="1"/>
    <x v="0"/>
    <x v="4"/>
    <x v="413"/>
    <n v="6"/>
    <n v="25.215"/>
    <n v="529.51499999999999"/>
    <x v="71"/>
    <d v="1899-12-30T10:48:00"/>
    <x v="2"/>
    <n v="504.3"/>
    <n v="4.7619047620000003"/>
    <n v="25.215"/>
    <n v="7.7"/>
  </r>
  <r>
    <x v="508"/>
    <x v="2"/>
    <x v="2"/>
    <x v="0"/>
    <x v="1"/>
    <x v="0"/>
    <x v="496"/>
    <n v="5"/>
    <n v="15.3225"/>
    <n v="321.77249999999998"/>
    <x v="14"/>
    <d v="1899-12-30T14:28:00"/>
    <x v="1"/>
    <n v="306.45"/>
    <n v="4.7619047620000003"/>
    <n v="15.3225"/>
    <n v="7"/>
  </r>
  <r>
    <x v="509"/>
    <x v="1"/>
    <x v="1"/>
    <x v="0"/>
    <x v="0"/>
    <x v="2"/>
    <x v="497"/>
    <n v="6"/>
    <n v="4.7850000000000001"/>
    <n v="100.485"/>
    <x v="57"/>
    <d v="1899-12-30T17:15:00"/>
    <x v="2"/>
    <n v="95.7"/>
    <n v="4.7619047620000003"/>
    <n v="4.7850000000000001"/>
    <n v="5.0999999999999996"/>
  </r>
  <r>
    <x v="510"/>
    <x v="2"/>
    <x v="2"/>
    <x v="0"/>
    <x v="0"/>
    <x v="3"/>
    <x v="498"/>
    <n v="7"/>
    <n v="31.759"/>
    <n v="666.93899999999996"/>
    <x v="65"/>
    <d v="1899-12-30T18:03:00"/>
    <x v="2"/>
    <n v="635.17999999999995"/>
    <n v="4.7619047620000003"/>
    <n v="31.759"/>
    <n v="6.2"/>
  </r>
  <r>
    <x v="511"/>
    <x v="0"/>
    <x v="0"/>
    <x v="1"/>
    <x v="0"/>
    <x v="2"/>
    <x v="499"/>
    <n v="5"/>
    <n v="10.727499999999999"/>
    <n v="225.2775"/>
    <x v="0"/>
    <d v="1899-12-30T17:29:00"/>
    <x v="0"/>
    <n v="214.55"/>
    <n v="4.7619047620000003"/>
    <n v="10.727499999999999"/>
    <n v="6.1"/>
  </r>
  <r>
    <x v="512"/>
    <x v="0"/>
    <x v="0"/>
    <x v="1"/>
    <x v="0"/>
    <x v="5"/>
    <x v="500"/>
    <n v="7"/>
    <n v="18.998000000000001"/>
    <n v="398.95800000000003"/>
    <x v="3"/>
    <d v="1899-12-30T18:05:00"/>
    <x v="0"/>
    <n v="379.96"/>
    <n v="4.7619047620000003"/>
    <n v="18.998000000000001"/>
    <n v="9.3000000000000007"/>
  </r>
  <r>
    <x v="513"/>
    <x v="0"/>
    <x v="0"/>
    <x v="1"/>
    <x v="1"/>
    <x v="1"/>
    <x v="501"/>
    <n v="7"/>
    <n v="34.842500000000001"/>
    <n v="731.6925"/>
    <x v="86"/>
    <d v="1899-12-30T12:07:00"/>
    <x v="1"/>
    <n v="696.85"/>
    <n v="4.7619047620000003"/>
    <n v="34.842500000000001"/>
    <n v="7.6"/>
  </r>
  <r>
    <x v="514"/>
    <x v="1"/>
    <x v="1"/>
    <x v="0"/>
    <x v="1"/>
    <x v="3"/>
    <x v="502"/>
    <n v="7"/>
    <n v="20.436499999999999"/>
    <n v="429.16649999999998"/>
    <x v="55"/>
    <d v="1899-12-30T19:49:00"/>
    <x v="2"/>
    <n v="408.73"/>
    <n v="4.7619047620000003"/>
    <n v="20.436499999999999"/>
    <n v="8.1999999999999993"/>
  </r>
  <r>
    <x v="515"/>
    <x v="1"/>
    <x v="1"/>
    <x v="0"/>
    <x v="0"/>
    <x v="5"/>
    <x v="503"/>
    <n v="1"/>
    <n v="2.5735000000000001"/>
    <n v="54.043500000000002"/>
    <x v="79"/>
    <d v="1899-12-30T15:52:00"/>
    <x v="0"/>
    <n v="51.47"/>
    <n v="4.7619047620000003"/>
    <n v="2.5735000000000001"/>
    <n v="8.5"/>
  </r>
  <r>
    <x v="516"/>
    <x v="2"/>
    <x v="2"/>
    <x v="0"/>
    <x v="1"/>
    <x v="0"/>
    <x v="504"/>
    <n v="5"/>
    <n v="13.715"/>
    <n v="288.01499999999999"/>
    <x v="14"/>
    <d v="1899-12-30T16:48:00"/>
    <x v="0"/>
    <n v="274.3"/>
    <n v="4.7619047620000003"/>
    <n v="13.715"/>
    <n v="9.8000000000000007"/>
  </r>
  <r>
    <x v="517"/>
    <x v="1"/>
    <x v="1"/>
    <x v="0"/>
    <x v="1"/>
    <x v="2"/>
    <x v="505"/>
    <n v="5"/>
    <n v="9.8475000000000001"/>
    <n v="206.79750000000001"/>
    <x v="49"/>
    <d v="1899-12-30T20:46:00"/>
    <x v="2"/>
    <n v="196.95"/>
    <n v="4.7619047620000003"/>
    <n v="9.8475000000000001"/>
    <n v="8.6999999999999993"/>
  </r>
  <r>
    <x v="518"/>
    <x v="0"/>
    <x v="0"/>
    <x v="1"/>
    <x v="1"/>
    <x v="2"/>
    <x v="506"/>
    <n v="2"/>
    <n v="3.4729999999999999"/>
    <n v="72.933000000000007"/>
    <x v="59"/>
    <d v="1899-12-30T18:14:00"/>
    <x v="0"/>
    <n v="69.459999999999994"/>
    <n v="4.7619047620000003"/>
    <n v="3.4729999999999999"/>
    <n v="9.6999999999999993"/>
  </r>
  <r>
    <x v="519"/>
    <x v="1"/>
    <x v="1"/>
    <x v="0"/>
    <x v="1"/>
    <x v="3"/>
    <x v="507"/>
    <n v="5"/>
    <n v="17.98"/>
    <n v="377.58"/>
    <x v="29"/>
    <d v="1899-12-30T15:05:00"/>
    <x v="2"/>
    <n v="359.6"/>
    <n v="4.7619047620000003"/>
    <n v="17.98"/>
    <n v="4.3"/>
  </r>
  <r>
    <x v="520"/>
    <x v="2"/>
    <x v="2"/>
    <x v="1"/>
    <x v="0"/>
    <x v="1"/>
    <x v="508"/>
    <n v="3"/>
    <n v="6.8564999999999996"/>
    <n v="143.98650000000001"/>
    <x v="58"/>
    <d v="1899-12-30T10:34:00"/>
    <x v="2"/>
    <n v="137.13"/>
    <n v="4.7619047620000003"/>
    <n v="6.8564999999999996"/>
    <n v="7.7"/>
  </r>
  <r>
    <x v="521"/>
    <x v="1"/>
    <x v="1"/>
    <x v="0"/>
    <x v="0"/>
    <x v="2"/>
    <x v="509"/>
    <n v="6"/>
    <n v="24.951000000000001"/>
    <n v="523.971"/>
    <x v="80"/>
    <d v="1899-12-30T11:23:00"/>
    <x v="1"/>
    <n v="499.02"/>
    <n v="4.7619047620000003"/>
    <n v="24.951000000000001"/>
    <n v="7.3"/>
  </r>
  <r>
    <x v="522"/>
    <x v="0"/>
    <x v="0"/>
    <x v="0"/>
    <x v="0"/>
    <x v="2"/>
    <x v="510"/>
    <n v="6"/>
    <n v="11.231999999999999"/>
    <n v="235.87200000000001"/>
    <x v="10"/>
    <d v="1899-12-30T13:55:00"/>
    <x v="2"/>
    <n v="224.64"/>
    <n v="4.7619047620000003"/>
    <n v="11.231999999999999"/>
    <n v="5.9"/>
  </r>
  <r>
    <x v="523"/>
    <x v="1"/>
    <x v="1"/>
    <x v="1"/>
    <x v="1"/>
    <x v="0"/>
    <x v="511"/>
    <n v="2"/>
    <n v="6.2869999999999999"/>
    <n v="132.02699999999999"/>
    <x v="17"/>
    <d v="1899-12-30T11:43:00"/>
    <x v="1"/>
    <n v="125.74"/>
    <n v="4.7619047620000003"/>
    <n v="6.2869999999999999"/>
    <n v="5"/>
  </r>
  <r>
    <x v="524"/>
    <x v="0"/>
    <x v="0"/>
    <x v="1"/>
    <x v="1"/>
    <x v="4"/>
    <x v="512"/>
    <n v="6"/>
    <n v="24.513000000000002"/>
    <n v="514.77300000000002"/>
    <x v="3"/>
    <d v="1899-12-30T14:36:00"/>
    <x v="2"/>
    <n v="490.26"/>
    <n v="4.7619047620000003"/>
    <n v="24.513000000000002"/>
    <n v="8"/>
  </r>
  <r>
    <x v="525"/>
    <x v="0"/>
    <x v="0"/>
    <x v="0"/>
    <x v="0"/>
    <x v="3"/>
    <x v="513"/>
    <n v="5"/>
    <n v="22.852499999999999"/>
    <n v="479.90249999999997"/>
    <x v="6"/>
    <d v="1899-12-30T16:03:00"/>
    <x v="0"/>
    <n v="457.05"/>
    <n v="4.7619047620000003"/>
    <n v="22.852499999999999"/>
    <n v="7.1"/>
  </r>
  <r>
    <x v="526"/>
    <x v="2"/>
    <x v="2"/>
    <x v="1"/>
    <x v="1"/>
    <x v="5"/>
    <x v="514"/>
    <n v="4"/>
    <n v="7.8419999999999996"/>
    <n v="164.68199999999999"/>
    <x v="65"/>
    <d v="1899-12-30T20:03:00"/>
    <x v="2"/>
    <n v="156.84"/>
    <n v="4.7619047620000003"/>
    <n v="7.8419999999999996"/>
    <n v="9"/>
  </r>
  <r>
    <x v="527"/>
    <x v="2"/>
    <x v="2"/>
    <x v="0"/>
    <x v="1"/>
    <x v="5"/>
    <x v="515"/>
    <n v="2"/>
    <n v="5.9859999999999998"/>
    <n v="125.706"/>
    <x v="50"/>
    <d v="1899-12-30T14:55:00"/>
    <x v="0"/>
    <n v="119.72"/>
    <n v="4.7619047620000003"/>
    <n v="5.9859999999999998"/>
    <n v="6.7"/>
  </r>
  <r>
    <x v="528"/>
    <x v="2"/>
    <x v="2"/>
    <x v="0"/>
    <x v="0"/>
    <x v="4"/>
    <x v="516"/>
    <n v="10"/>
    <n v="27.18"/>
    <n v="570.78"/>
    <x v="13"/>
    <d v="1899-12-30T11:28:00"/>
    <x v="2"/>
    <n v="543.6"/>
    <n v="4.7619047620000003"/>
    <n v="27.18"/>
    <n v="6.1"/>
  </r>
  <r>
    <x v="529"/>
    <x v="0"/>
    <x v="0"/>
    <x v="1"/>
    <x v="1"/>
    <x v="3"/>
    <x v="517"/>
    <n v="9"/>
    <n v="44.140500000000003"/>
    <n v="926.95050000000003"/>
    <x v="21"/>
    <d v="1899-12-30T19:41:00"/>
    <x v="1"/>
    <n v="882.81"/>
    <n v="4.7619047620000003"/>
    <n v="44.140500000000003"/>
    <n v="9.3000000000000007"/>
  </r>
  <r>
    <x v="530"/>
    <x v="0"/>
    <x v="0"/>
    <x v="1"/>
    <x v="1"/>
    <x v="0"/>
    <x v="518"/>
    <n v="6"/>
    <n v="7.6289999999999996"/>
    <n v="160.209"/>
    <x v="12"/>
    <d v="1899-12-30T19:01:00"/>
    <x v="0"/>
    <n v="152.58000000000001"/>
    <n v="4.7619047620000003"/>
    <n v="7.6289999999999996"/>
    <n v="7"/>
  </r>
  <r>
    <x v="531"/>
    <x v="0"/>
    <x v="0"/>
    <x v="0"/>
    <x v="1"/>
    <x v="5"/>
    <x v="519"/>
    <n v="8"/>
    <n v="34.671999999999997"/>
    <n v="728.11199999999997"/>
    <x v="46"/>
    <d v="1899-12-30T18:04:00"/>
    <x v="2"/>
    <n v="693.44"/>
    <n v="4.7619047620000003"/>
    <n v="34.671999999999997"/>
    <n v="7.2"/>
  </r>
  <r>
    <x v="532"/>
    <x v="2"/>
    <x v="2"/>
    <x v="1"/>
    <x v="1"/>
    <x v="1"/>
    <x v="520"/>
    <n v="10"/>
    <n v="11.475"/>
    <n v="240.97499999999999"/>
    <x v="10"/>
    <d v="1899-12-30T19:20:00"/>
    <x v="0"/>
    <n v="229.5"/>
    <n v="4.7619047620000003"/>
    <n v="11.475"/>
    <n v="8.1999999999999993"/>
  </r>
  <r>
    <x v="533"/>
    <x v="1"/>
    <x v="1"/>
    <x v="1"/>
    <x v="0"/>
    <x v="4"/>
    <x v="521"/>
    <n v="9"/>
    <n v="7.3395000000000001"/>
    <n v="154.12950000000001"/>
    <x v="58"/>
    <d v="1899-12-30T10:31:00"/>
    <x v="0"/>
    <n v="146.79"/>
    <n v="4.7619047620000003"/>
    <n v="7.3395000000000001"/>
    <n v="8.4"/>
  </r>
  <r>
    <x v="534"/>
    <x v="0"/>
    <x v="0"/>
    <x v="1"/>
    <x v="0"/>
    <x v="2"/>
    <x v="522"/>
    <n v="5"/>
    <n v="7.08"/>
    <n v="148.68"/>
    <x v="16"/>
    <d v="1899-12-30T13:28:00"/>
    <x v="0"/>
    <n v="141.6"/>
    <n v="4.7619047620000003"/>
    <n v="7.08"/>
    <n v="6.2"/>
  </r>
  <r>
    <x v="535"/>
    <x v="1"/>
    <x v="1"/>
    <x v="1"/>
    <x v="1"/>
    <x v="2"/>
    <x v="523"/>
    <n v="7"/>
    <n v="5.8345000000000002"/>
    <n v="122.5245"/>
    <x v="13"/>
    <d v="1899-12-30T11:36:00"/>
    <x v="0"/>
    <n v="116.69"/>
    <n v="4.7619047620000003"/>
    <n v="5.8345000000000002"/>
    <n v="7.4"/>
  </r>
  <r>
    <x v="536"/>
    <x v="2"/>
    <x v="2"/>
    <x v="0"/>
    <x v="0"/>
    <x v="5"/>
    <x v="524"/>
    <n v="1"/>
    <n v="3.698"/>
    <n v="77.658000000000001"/>
    <x v="0"/>
    <d v="1899-12-30T11:32:00"/>
    <x v="2"/>
    <n v="73.959999999999994"/>
    <n v="4.7619047620000003"/>
    <n v="3.698"/>
    <n v="5"/>
  </r>
  <r>
    <x v="537"/>
    <x v="0"/>
    <x v="0"/>
    <x v="1"/>
    <x v="1"/>
    <x v="2"/>
    <x v="525"/>
    <n v="1"/>
    <n v="4.8970000000000002"/>
    <n v="102.837"/>
    <x v="37"/>
    <d v="1899-12-30T11:44:00"/>
    <x v="0"/>
    <n v="97.94"/>
    <n v="4.7619047620000003"/>
    <n v="4.8970000000000002"/>
    <n v="6.9"/>
  </r>
  <r>
    <x v="538"/>
    <x v="0"/>
    <x v="0"/>
    <x v="1"/>
    <x v="0"/>
    <x v="5"/>
    <x v="452"/>
    <n v="4"/>
    <n v="14.61"/>
    <n v="306.81"/>
    <x v="6"/>
    <d v="1899-12-30T17:16:00"/>
    <x v="2"/>
    <n v="292.2"/>
    <n v="4.7619047620000003"/>
    <n v="14.61"/>
    <n v="4.9000000000000004"/>
  </r>
  <r>
    <x v="539"/>
    <x v="1"/>
    <x v="1"/>
    <x v="0"/>
    <x v="0"/>
    <x v="4"/>
    <x v="526"/>
    <n v="6"/>
    <n v="26.244"/>
    <n v="551.12400000000002"/>
    <x v="60"/>
    <d v="1899-12-30T18:43:00"/>
    <x v="0"/>
    <n v="524.88"/>
    <n v="4.7619047620000003"/>
    <n v="26.244"/>
    <n v="5.0999999999999996"/>
  </r>
  <r>
    <x v="540"/>
    <x v="0"/>
    <x v="0"/>
    <x v="1"/>
    <x v="1"/>
    <x v="2"/>
    <x v="527"/>
    <n v="3"/>
    <n v="4.6020000000000003"/>
    <n v="96.641999999999996"/>
    <x v="49"/>
    <d v="1899-12-30T11:00:00"/>
    <x v="0"/>
    <n v="92.04"/>
    <n v="4.7619047620000003"/>
    <n v="4.6020000000000003"/>
    <n v="9.1"/>
  </r>
  <r>
    <x v="541"/>
    <x v="1"/>
    <x v="1"/>
    <x v="0"/>
    <x v="1"/>
    <x v="0"/>
    <x v="528"/>
    <n v="1"/>
    <n v="3.794"/>
    <n v="79.674000000000007"/>
    <x v="75"/>
    <d v="1899-12-30T10:30:00"/>
    <x v="2"/>
    <n v="75.88"/>
    <n v="4.7619047620000003"/>
    <n v="3.794"/>
    <n v="7.1"/>
  </r>
  <r>
    <x v="542"/>
    <x v="2"/>
    <x v="2"/>
    <x v="0"/>
    <x v="0"/>
    <x v="3"/>
    <x v="529"/>
    <n v="4"/>
    <n v="4.0359999999999996"/>
    <n v="84.756"/>
    <x v="77"/>
    <d v="1899-12-30T12:14:00"/>
    <x v="2"/>
    <n v="80.72"/>
    <n v="4.7619047620000003"/>
    <n v="4.0359999999999996"/>
    <n v="5"/>
  </r>
  <r>
    <x v="543"/>
    <x v="1"/>
    <x v="1"/>
    <x v="0"/>
    <x v="1"/>
    <x v="1"/>
    <x v="530"/>
    <n v="6"/>
    <n v="5.6310000000000002"/>
    <n v="118.251"/>
    <x v="26"/>
    <d v="1899-12-30T16:43:00"/>
    <x v="2"/>
    <n v="112.62"/>
    <n v="4.7619047620000003"/>
    <n v="5.6310000000000002"/>
    <n v="5.5"/>
  </r>
  <r>
    <x v="544"/>
    <x v="2"/>
    <x v="2"/>
    <x v="1"/>
    <x v="0"/>
    <x v="4"/>
    <x v="531"/>
    <n v="1"/>
    <n v="3.56"/>
    <n v="74.760000000000005"/>
    <x v="0"/>
    <d v="1899-12-30T20:40:00"/>
    <x v="2"/>
    <n v="71.2"/>
    <n v="4.7619047620000003"/>
    <n v="3.56"/>
    <n v="9.1999999999999993"/>
  </r>
  <r>
    <x v="545"/>
    <x v="2"/>
    <x v="2"/>
    <x v="0"/>
    <x v="1"/>
    <x v="2"/>
    <x v="532"/>
    <n v="4"/>
    <n v="7.7619999999999996"/>
    <n v="163.00200000000001"/>
    <x v="35"/>
    <d v="1899-12-30T13:40:00"/>
    <x v="0"/>
    <n v="155.24"/>
    <n v="4.7619047620000003"/>
    <n v="7.7619999999999996"/>
    <n v="4.9000000000000004"/>
  </r>
  <r>
    <x v="546"/>
    <x v="0"/>
    <x v="0"/>
    <x v="1"/>
    <x v="0"/>
    <x v="5"/>
    <x v="533"/>
    <n v="10"/>
    <n v="14.71"/>
    <n v="308.91000000000003"/>
    <x v="52"/>
    <d v="1899-12-30T16:23:00"/>
    <x v="0"/>
    <n v="294.2"/>
    <n v="4.7619047620000003"/>
    <n v="14.71"/>
    <n v="8.9"/>
  </r>
  <r>
    <x v="547"/>
    <x v="0"/>
    <x v="0"/>
    <x v="1"/>
    <x v="1"/>
    <x v="3"/>
    <x v="534"/>
    <n v="9"/>
    <n v="27.427499999999998"/>
    <n v="575.97749999999996"/>
    <x v="27"/>
    <d v="1899-12-30T12:08:00"/>
    <x v="2"/>
    <n v="548.54999999999995"/>
    <n v="4.7619047620000003"/>
    <n v="27.427499999999998"/>
    <n v="6"/>
  </r>
  <r>
    <x v="548"/>
    <x v="2"/>
    <x v="2"/>
    <x v="1"/>
    <x v="0"/>
    <x v="3"/>
    <x v="535"/>
    <n v="5"/>
    <n v="12.885"/>
    <n v="270.58499999999998"/>
    <x v="53"/>
    <d v="1899-12-30T17:45:00"/>
    <x v="1"/>
    <n v="257.7"/>
    <n v="4.7619047620000003"/>
    <n v="12.885"/>
    <n v="4.2"/>
  </r>
  <r>
    <x v="549"/>
    <x v="0"/>
    <x v="0"/>
    <x v="1"/>
    <x v="0"/>
    <x v="1"/>
    <x v="536"/>
    <n v="6"/>
    <n v="19.818000000000001"/>
    <n v="416.178"/>
    <x v="54"/>
    <d v="1899-12-30T10:28:00"/>
    <x v="1"/>
    <n v="396.36"/>
    <n v="4.7619047620000003"/>
    <n v="19.818000000000001"/>
    <n v="7.3"/>
  </r>
  <r>
    <x v="550"/>
    <x v="2"/>
    <x v="2"/>
    <x v="1"/>
    <x v="1"/>
    <x v="5"/>
    <x v="537"/>
    <n v="3"/>
    <n v="8.5905000000000005"/>
    <n v="180.40049999999999"/>
    <x v="57"/>
    <d v="1899-12-30T20:31:00"/>
    <x v="0"/>
    <n v="171.81"/>
    <n v="4.7619047620000003"/>
    <n v="8.5905000000000005"/>
    <n v="6.5"/>
  </r>
  <r>
    <x v="551"/>
    <x v="2"/>
    <x v="2"/>
    <x v="1"/>
    <x v="0"/>
    <x v="5"/>
    <x v="538"/>
    <n v="9"/>
    <n v="24.439499999999999"/>
    <n v="513.22950000000003"/>
    <x v="70"/>
    <d v="1899-12-30T10:49:00"/>
    <x v="1"/>
    <n v="488.79"/>
    <n v="4.7619047620000003"/>
    <n v="24.439499999999999"/>
    <n v="8.9"/>
  </r>
  <r>
    <x v="552"/>
    <x v="2"/>
    <x v="2"/>
    <x v="1"/>
    <x v="0"/>
    <x v="0"/>
    <x v="539"/>
    <n v="9"/>
    <n v="26.207999999999998"/>
    <n v="550.36800000000005"/>
    <x v="63"/>
    <d v="1899-12-30T12:34:00"/>
    <x v="1"/>
    <n v="524.16"/>
    <n v="4.7619047620000003"/>
    <n v="26.207999999999998"/>
    <n v="9.6999999999999993"/>
  </r>
  <r>
    <x v="553"/>
    <x v="1"/>
    <x v="1"/>
    <x v="1"/>
    <x v="1"/>
    <x v="1"/>
    <x v="540"/>
    <n v="6"/>
    <n v="6.6630000000000003"/>
    <n v="139.923"/>
    <x v="37"/>
    <d v="1899-12-30T10:23:00"/>
    <x v="2"/>
    <n v="133.26"/>
    <n v="4.7619047620000003"/>
    <n v="6.6630000000000003"/>
    <n v="8.6"/>
  </r>
  <r>
    <x v="554"/>
    <x v="0"/>
    <x v="0"/>
    <x v="0"/>
    <x v="1"/>
    <x v="1"/>
    <x v="541"/>
    <n v="7"/>
    <n v="6.7619999999999996"/>
    <n v="142.00200000000001"/>
    <x v="5"/>
    <d v="1899-12-30T18:51:00"/>
    <x v="1"/>
    <n v="135.24"/>
    <n v="4.7619047620000003"/>
    <n v="6.7619999999999996"/>
    <n v="6.9"/>
  </r>
  <r>
    <x v="555"/>
    <x v="2"/>
    <x v="2"/>
    <x v="1"/>
    <x v="1"/>
    <x v="2"/>
    <x v="542"/>
    <n v="3"/>
    <n v="5.6219999999999999"/>
    <n v="118.062"/>
    <x v="40"/>
    <d v="1899-12-30T13:45:00"/>
    <x v="2"/>
    <n v="112.44"/>
    <n v="4.7619047620000003"/>
    <n v="5.6219999999999999"/>
    <n v="7.7"/>
  </r>
  <r>
    <x v="556"/>
    <x v="2"/>
    <x v="2"/>
    <x v="0"/>
    <x v="0"/>
    <x v="5"/>
    <x v="543"/>
    <n v="2"/>
    <n v="7.2039999999999997"/>
    <n v="151.28399999999999"/>
    <x v="87"/>
    <d v="1899-12-30T19:38:00"/>
    <x v="1"/>
    <n v="144.08000000000001"/>
    <n v="4.7619047620000003"/>
    <n v="7.2039999999999997"/>
    <n v="9.5"/>
  </r>
  <r>
    <x v="557"/>
    <x v="1"/>
    <x v="1"/>
    <x v="0"/>
    <x v="0"/>
    <x v="4"/>
    <x v="544"/>
    <n v="10"/>
    <n v="49.26"/>
    <n v="1034.46"/>
    <x v="74"/>
    <d v="1899-12-30T20:23:00"/>
    <x v="0"/>
    <n v="985.2"/>
    <n v="4.7619047620000003"/>
    <n v="49.26"/>
    <n v="4.5"/>
  </r>
  <r>
    <x v="558"/>
    <x v="0"/>
    <x v="0"/>
    <x v="0"/>
    <x v="1"/>
    <x v="4"/>
    <x v="545"/>
    <n v="6"/>
    <n v="12.497999999999999"/>
    <n v="262.45800000000003"/>
    <x v="56"/>
    <d v="1899-12-30T15:24:00"/>
    <x v="0"/>
    <n v="249.96"/>
    <n v="4.7619047620000003"/>
    <n v="12.497999999999999"/>
    <n v="5.6"/>
  </r>
  <r>
    <x v="559"/>
    <x v="0"/>
    <x v="0"/>
    <x v="0"/>
    <x v="0"/>
    <x v="2"/>
    <x v="546"/>
    <n v="3"/>
    <n v="10.863"/>
    <n v="228.12299999999999"/>
    <x v="14"/>
    <d v="1899-12-30T16:54:00"/>
    <x v="0"/>
    <n v="217.26"/>
    <n v="4.7619047620000003"/>
    <n v="10.863"/>
    <n v="8.1999999999999993"/>
  </r>
  <r>
    <x v="560"/>
    <x v="2"/>
    <x v="2"/>
    <x v="1"/>
    <x v="1"/>
    <x v="1"/>
    <x v="459"/>
    <n v="9"/>
    <n v="9.7110000000000003"/>
    <n v="203.93100000000001"/>
    <x v="86"/>
    <d v="1899-12-30T12:32:00"/>
    <x v="1"/>
    <n v="194.22"/>
    <n v="4.7619047620000003"/>
    <n v="9.7110000000000003"/>
    <n v="7.3"/>
  </r>
  <r>
    <x v="561"/>
    <x v="1"/>
    <x v="1"/>
    <x v="1"/>
    <x v="1"/>
    <x v="4"/>
    <x v="547"/>
    <n v="10"/>
    <n v="44.6"/>
    <n v="936.6"/>
    <x v="48"/>
    <d v="1899-12-30T15:42:00"/>
    <x v="2"/>
    <n v="892"/>
    <n v="4.7619047620000003"/>
    <n v="44.6"/>
    <n v="4.4000000000000004"/>
  </r>
  <r>
    <x v="562"/>
    <x v="2"/>
    <x v="2"/>
    <x v="1"/>
    <x v="0"/>
    <x v="1"/>
    <x v="548"/>
    <n v="8"/>
    <n v="16.968"/>
    <n v="356.32799999999997"/>
    <x v="74"/>
    <d v="1899-12-30T13:58:00"/>
    <x v="0"/>
    <n v="339.36"/>
    <n v="4.7619047620000003"/>
    <n v="16.968"/>
    <n v="5.7"/>
  </r>
  <r>
    <x v="563"/>
    <x v="0"/>
    <x v="0"/>
    <x v="0"/>
    <x v="1"/>
    <x v="1"/>
    <x v="549"/>
    <n v="6"/>
    <n v="22.353000000000002"/>
    <n v="469.41300000000001"/>
    <x v="80"/>
    <d v="1899-12-30T15:08:00"/>
    <x v="0"/>
    <n v="447.06"/>
    <n v="4.7619047620000003"/>
    <n v="22.353000000000002"/>
    <n v="5"/>
  </r>
  <r>
    <x v="564"/>
    <x v="2"/>
    <x v="2"/>
    <x v="1"/>
    <x v="1"/>
    <x v="5"/>
    <x v="550"/>
    <n v="2"/>
    <n v="9.9250000000000007"/>
    <n v="208.42500000000001"/>
    <x v="80"/>
    <d v="1899-12-30T13:02:00"/>
    <x v="1"/>
    <n v="198.5"/>
    <n v="4.7619047620000003"/>
    <n v="9.9250000000000007"/>
    <n v="9"/>
  </r>
  <r>
    <x v="565"/>
    <x v="0"/>
    <x v="0"/>
    <x v="1"/>
    <x v="0"/>
    <x v="4"/>
    <x v="551"/>
    <n v="10"/>
    <n v="40.604999999999997"/>
    <n v="852.70500000000004"/>
    <x v="29"/>
    <d v="1899-12-30T13:01:00"/>
    <x v="2"/>
    <n v="812.1"/>
    <n v="4.7619047620000003"/>
    <n v="40.604999999999997"/>
    <n v="6.3"/>
  </r>
  <r>
    <x v="566"/>
    <x v="1"/>
    <x v="1"/>
    <x v="1"/>
    <x v="0"/>
    <x v="3"/>
    <x v="552"/>
    <n v="10"/>
    <n v="24.664999999999999"/>
    <n v="517.96500000000003"/>
    <x v="36"/>
    <d v="1899-12-30T16:40:00"/>
    <x v="2"/>
    <n v="493.3"/>
    <n v="4.7619047620000003"/>
    <n v="24.664999999999999"/>
    <n v="9.4"/>
  </r>
  <r>
    <x v="567"/>
    <x v="0"/>
    <x v="0"/>
    <x v="1"/>
    <x v="0"/>
    <x v="5"/>
    <x v="553"/>
    <n v="9"/>
    <n v="29.582999999999998"/>
    <n v="621.24300000000005"/>
    <x v="17"/>
    <d v="1899-12-30T13:55:00"/>
    <x v="1"/>
    <n v="591.66"/>
    <n v="4.7619047620000003"/>
    <n v="29.582999999999998"/>
    <n v="7.7"/>
  </r>
  <r>
    <x v="568"/>
    <x v="2"/>
    <x v="2"/>
    <x v="1"/>
    <x v="0"/>
    <x v="5"/>
    <x v="554"/>
    <n v="7"/>
    <n v="27.951000000000001"/>
    <n v="586.971"/>
    <x v="8"/>
    <d v="1899-12-30T10:33:00"/>
    <x v="2"/>
    <n v="559.02"/>
    <n v="4.7619047620000003"/>
    <n v="27.951000000000001"/>
    <n v="5.5"/>
  </r>
  <r>
    <x v="569"/>
    <x v="1"/>
    <x v="1"/>
    <x v="1"/>
    <x v="0"/>
    <x v="3"/>
    <x v="555"/>
    <n v="7"/>
    <n v="25.893000000000001"/>
    <n v="543.75300000000004"/>
    <x v="22"/>
    <d v="1899-12-30T16:42:00"/>
    <x v="0"/>
    <n v="517.86"/>
    <n v="4.7619047620000003"/>
    <n v="25.893000000000001"/>
    <n v="4.0999999999999996"/>
  </r>
  <r>
    <x v="570"/>
    <x v="2"/>
    <x v="2"/>
    <x v="0"/>
    <x v="0"/>
    <x v="2"/>
    <x v="556"/>
    <n v="5"/>
    <n v="20.51"/>
    <n v="430.71"/>
    <x v="6"/>
    <d v="1899-12-30T17:16:00"/>
    <x v="2"/>
    <n v="410.2"/>
    <n v="4.7619047620000003"/>
    <n v="20.51"/>
    <n v="7.6"/>
  </r>
  <r>
    <x v="571"/>
    <x v="2"/>
    <x v="2"/>
    <x v="0"/>
    <x v="1"/>
    <x v="3"/>
    <x v="557"/>
    <n v="10"/>
    <n v="13.335000000000001"/>
    <n v="280.03500000000003"/>
    <x v="71"/>
    <d v="1899-12-30T11:48:00"/>
    <x v="1"/>
    <n v="266.7"/>
    <n v="4.7619047620000003"/>
    <n v="13.335000000000001"/>
    <n v="8.6"/>
  </r>
  <r>
    <x v="572"/>
    <x v="0"/>
    <x v="0"/>
    <x v="0"/>
    <x v="1"/>
    <x v="4"/>
    <x v="558"/>
    <n v="7"/>
    <n v="3.5455000000000001"/>
    <n v="74.455500000000001"/>
    <x v="24"/>
    <d v="1899-12-30T19:35:00"/>
    <x v="0"/>
    <n v="70.91"/>
    <n v="4.7619047620000003"/>
    <n v="3.5455000000000001"/>
    <n v="8.3000000000000007"/>
  </r>
  <r>
    <x v="573"/>
    <x v="2"/>
    <x v="2"/>
    <x v="1"/>
    <x v="1"/>
    <x v="4"/>
    <x v="559"/>
    <n v="2"/>
    <n v="7.2389999999999999"/>
    <n v="152.01900000000001"/>
    <x v="50"/>
    <d v="1899-12-30T19:55:00"/>
    <x v="2"/>
    <n v="144.78"/>
    <n v="4.7619047620000003"/>
    <n v="7.2389999999999999"/>
    <n v="8.1"/>
  </r>
  <r>
    <x v="574"/>
    <x v="0"/>
    <x v="0"/>
    <x v="1"/>
    <x v="1"/>
    <x v="3"/>
    <x v="560"/>
    <n v="5"/>
    <n v="21.477499999999999"/>
    <n v="451.02749999999997"/>
    <x v="23"/>
    <d v="1899-12-30T14:33:00"/>
    <x v="2"/>
    <n v="429.55"/>
    <n v="4.7619047620000003"/>
    <n v="21.477499999999999"/>
    <n v="8.6"/>
  </r>
  <r>
    <x v="575"/>
    <x v="2"/>
    <x v="2"/>
    <x v="0"/>
    <x v="1"/>
    <x v="5"/>
    <x v="561"/>
    <n v="7"/>
    <n v="28.458500000000001"/>
    <n v="597.62850000000003"/>
    <x v="59"/>
    <d v="1899-12-30T19:49:00"/>
    <x v="0"/>
    <n v="569.16999999999996"/>
    <n v="4.7619047620000003"/>
    <n v="28.458500000000001"/>
    <n v="6.3"/>
  </r>
  <r>
    <x v="576"/>
    <x v="2"/>
    <x v="2"/>
    <x v="1"/>
    <x v="1"/>
    <x v="4"/>
    <x v="562"/>
    <n v="4"/>
    <n v="12.06"/>
    <n v="253.26"/>
    <x v="9"/>
    <d v="1899-12-30T18:43:00"/>
    <x v="1"/>
    <n v="241.2"/>
    <n v="4.7619047620000003"/>
    <n v="12.06"/>
    <n v="5.8"/>
  </r>
  <r>
    <x v="577"/>
    <x v="1"/>
    <x v="1"/>
    <x v="1"/>
    <x v="1"/>
    <x v="4"/>
    <x v="563"/>
    <n v="4"/>
    <n v="6.3540000000000001"/>
    <n v="133.434"/>
    <x v="78"/>
    <d v="1899-12-30T14:43:00"/>
    <x v="0"/>
    <n v="127.08"/>
    <n v="4.7619047620000003"/>
    <n v="6.3540000000000001"/>
    <n v="6.2"/>
  </r>
  <r>
    <x v="578"/>
    <x v="0"/>
    <x v="0"/>
    <x v="1"/>
    <x v="0"/>
    <x v="0"/>
    <x v="564"/>
    <n v="4"/>
    <n v="12.853999999999999"/>
    <n v="269.93400000000003"/>
    <x v="58"/>
    <d v="1899-12-30T13:54:00"/>
    <x v="1"/>
    <n v="257.08"/>
    <n v="4.7619047620000003"/>
    <n v="12.853999999999999"/>
    <n v="7.7"/>
  </r>
  <r>
    <x v="579"/>
    <x v="2"/>
    <x v="2"/>
    <x v="1"/>
    <x v="1"/>
    <x v="0"/>
    <x v="565"/>
    <n v="2"/>
    <n v="6.9509999999999996"/>
    <n v="145.971"/>
    <x v="59"/>
    <d v="1899-12-30T12:15:00"/>
    <x v="0"/>
    <n v="139.02000000000001"/>
    <n v="4.7619047620000003"/>
    <n v="6.9509999999999996"/>
    <n v="8.1"/>
  </r>
  <r>
    <x v="580"/>
    <x v="1"/>
    <x v="1"/>
    <x v="1"/>
    <x v="1"/>
    <x v="4"/>
    <x v="566"/>
    <n v="3"/>
    <n v="4.0830000000000002"/>
    <n v="85.742999999999995"/>
    <x v="27"/>
    <d v="1899-12-30T12:37:00"/>
    <x v="1"/>
    <n v="81.66"/>
    <n v="4.7619047620000003"/>
    <n v="4.0830000000000002"/>
    <n v="7.3"/>
  </r>
  <r>
    <x v="581"/>
    <x v="0"/>
    <x v="0"/>
    <x v="0"/>
    <x v="0"/>
    <x v="0"/>
    <x v="478"/>
    <n v="4"/>
    <n v="15.536"/>
    <n v="326.25599999999997"/>
    <x v="60"/>
    <d v="1899-12-30T19:54:00"/>
    <x v="1"/>
    <n v="310.72000000000003"/>
    <n v="4.7619047620000003"/>
    <n v="15.536"/>
    <n v="8.4"/>
  </r>
  <r>
    <x v="582"/>
    <x v="1"/>
    <x v="1"/>
    <x v="0"/>
    <x v="0"/>
    <x v="5"/>
    <x v="567"/>
    <n v="2"/>
    <n v="9.298"/>
    <n v="195.25800000000001"/>
    <x v="77"/>
    <d v="1899-12-30T15:06:00"/>
    <x v="2"/>
    <n v="185.96"/>
    <n v="4.7619047620000003"/>
    <n v="9.298"/>
    <n v="8"/>
  </r>
  <r>
    <x v="583"/>
    <x v="2"/>
    <x v="2"/>
    <x v="0"/>
    <x v="0"/>
    <x v="5"/>
    <x v="183"/>
    <n v="4"/>
    <n v="3.6160000000000001"/>
    <n v="75.936000000000007"/>
    <x v="78"/>
    <d v="1899-12-30T18:03:00"/>
    <x v="2"/>
    <n v="72.319999999999993"/>
    <n v="4.7619047620000003"/>
    <n v="3.6160000000000001"/>
    <n v="9.5"/>
  </r>
  <r>
    <x v="584"/>
    <x v="2"/>
    <x v="2"/>
    <x v="1"/>
    <x v="1"/>
    <x v="3"/>
    <x v="568"/>
    <n v="3"/>
    <n v="9.4589999999999996"/>
    <n v="198.63900000000001"/>
    <x v="64"/>
    <d v="1899-12-30T15:58:00"/>
    <x v="0"/>
    <n v="189.18"/>
    <n v="4.7619047620000003"/>
    <n v="9.4589999999999996"/>
    <n v="7"/>
  </r>
  <r>
    <x v="585"/>
    <x v="0"/>
    <x v="0"/>
    <x v="1"/>
    <x v="1"/>
    <x v="0"/>
    <x v="569"/>
    <n v="4"/>
    <n v="10.342000000000001"/>
    <n v="217.18199999999999"/>
    <x v="11"/>
    <d v="1899-12-30T13:53:00"/>
    <x v="2"/>
    <n v="206.84"/>
    <n v="4.7619047620000003"/>
    <n v="10.342000000000001"/>
    <n v="9.8000000000000007"/>
  </r>
  <r>
    <x v="586"/>
    <x v="0"/>
    <x v="0"/>
    <x v="1"/>
    <x v="0"/>
    <x v="4"/>
    <x v="570"/>
    <n v="3"/>
    <n v="7.851"/>
    <n v="164.87100000000001"/>
    <x v="39"/>
    <d v="1899-12-30T14:03:00"/>
    <x v="1"/>
    <n v="157.02000000000001"/>
    <n v="4.7619047620000003"/>
    <n v="7.851"/>
    <n v="9.1999999999999993"/>
  </r>
  <r>
    <x v="587"/>
    <x v="0"/>
    <x v="0"/>
    <x v="1"/>
    <x v="0"/>
    <x v="3"/>
    <x v="571"/>
    <n v="5"/>
    <n v="10.765000000000001"/>
    <n v="226.065"/>
    <x v="87"/>
    <d v="1899-12-30T16:38:00"/>
    <x v="0"/>
    <n v="215.3"/>
    <n v="4.7619047620000003"/>
    <n v="10.765000000000001"/>
    <n v="7.7"/>
  </r>
  <r>
    <x v="588"/>
    <x v="1"/>
    <x v="1"/>
    <x v="1"/>
    <x v="1"/>
    <x v="5"/>
    <x v="572"/>
    <n v="10"/>
    <n v="29.805"/>
    <n v="625.90499999999997"/>
    <x v="86"/>
    <d v="1899-12-30T11:07:00"/>
    <x v="1"/>
    <n v="596.1"/>
    <n v="4.7619047620000003"/>
    <n v="29.805"/>
    <n v="5.3"/>
  </r>
  <r>
    <x v="589"/>
    <x v="0"/>
    <x v="0"/>
    <x v="1"/>
    <x v="1"/>
    <x v="0"/>
    <x v="573"/>
    <n v="5"/>
    <n v="3.6549999999999998"/>
    <n v="76.754999999999995"/>
    <x v="31"/>
    <d v="1899-12-30T12:23:00"/>
    <x v="1"/>
    <n v="73.099999999999994"/>
    <n v="4.7619047620000003"/>
    <n v="3.6549999999999998"/>
    <n v="4.4000000000000004"/>
  </r>
  <r>
    <x v="590"/>
    <x v="1"/>
    <x v="1"/>
    <x v="0"/>
    <x v="1"/>
    <x v="0"/>
    <x v="574"/>
    <n v="6"/>
    <n v="13.959"/>
    <n v="293.13900000000001"/>
    <x v="2"/>
    <d v="1899-12-30T10:54:00"/>
    <x v="2"/>
    <n v="279.18"/>
    <n v="4.7619047620000003"/>
    <n v="13.959"/>
    <n v="4.3"/>
  </r>
  <r>
    <x v="591"/>
    <x v="1"/>
    <x v="1"/>
    <x v="0"/>
    <x v="0"/>
    <x v="2"/>
    <x v="575"/>
    <n v="7"/>
    <n v="8.484"/>
    <n v="178.16399999999999"/>
    <x v="3"/>
    <d v="1899-12-30T17:38:00"/>
    <x v="0"/>
    <n v="169.68"/>
    <n v="4.7619047620000003"/>
    <n v="8.484"/>
    <n v="9.4"/>
  </r>
  <r>
    <x v="592"/>
    <x v="0"/>
    <x v="0"/>
    <x v="0"/>
    <x v="0"/>
    <x v="3"/>
    <x v="576"/>
    <n v="1"/>
    <n v="2.2789999999999999"/>
    <n v="47.859000000000002"/>
    <x v="13"/>
    <d v="1899-12-30T14:13:00"/>
    <x v="1"/>
    <n v="45.58"/>
    <n v="4.7619047620000003"/>
    <n v="2.2789999999999999"/>
    <n v="9.8000000000000007"/>
  </r>
  <r>
    <x v="593"/>
    <x v="0"/>
    <x v="0"/>
    <x v="0"/>
    <x v="0"/>
    <x v="3"/>
    <x v="577"/>
    <n v="3"/>
    <n v="11.28"/>
    <n v="236.88"/>
    <x v="63"/>
    <d v="1899-12-30T11:51:00"/>
    <x v="0"/>
    <n v="225.6"/>
    <n v="4.7619047620000003"/>
    <n v="11.28"/>
    <n v="4.8"/>
  </r>
  <r>
    <x v="594"/>
    <x v="2"/>
    <x v="2"/>
    <x v="0"/>
    <x v="1"/>
    <x v="3"/>
    <x v="578"/>
    <n v="3"/>
    <n v="14.52"/>
    <n v="304.92"/>
    <x v="20"/>
    <d v="1899-12-30T13:05:00"/>
    <x v="1"/>
    <n v="290.39999999999998"/>
    <n v="4.7619047620000003"/>
    <n v="14.52"/>
    <n v="5.3"/>
  </r>
  <r>
    <x v="595"/>
    <x v="2"/>
    <x v="2"/>
    <x v="1"/>
    <x v="1"/>
    <x v="0"/>
    <x v="579"/>
    <n v="3"/>
    <n v="2.2229999999999999"/>
    <n v="46.683"/>
    <x v="59"/>
    <d v="1899-12-30T11:30:00"/>
    <x v="2"/>
    <n v="44.46"/>
    <n v="4.7619047620000003"/>
    <n v="2.2229999999999999"/>
    <n v="8.6999999999999993"/>
  </r>
  <r>
    <x v="596"/>
    <x v="0"/>
    <x v="0"/>
    <x v="1"/>
    <x v="1"/>
    <x v="4"/>
    <x v="580"/>
    <n v="3"/>
    <n v="7.83"/>
    <n v="164.43"/>
    <x v="42"/>
    <d v="1899-12-30T13:30:00"/>
    <x v="2"/>
    <n v="156.6"/>
    <n v="4.7619047620000003"/>
    <n v="7.83"/>
    <n v="9.5"/>
  </r>
  <r>
    <x v="597"/>
    <x v="1"/>
    <x v="1"/>
    <x v="1"/>
    <x v="0"/>
    <x v="3"/>
    <x v="581"/>
    <n v="9"/>
    <n v="20.997"/>
    <n v="440.93700000000001"/>
    <x v="21"/>
    <d v="1899-12-30T19:11:00"/>
    <x v="0"/>
    <n v="419.94"/>
    <n v="4.7619047620000003"/>
    <n v="20.997"/>
    <n v="5.3"/>
  </r>
  <r>
    <x v="598"/>
    <x v="1"/>
    <x v="1"/>
    <x v="1"/>
    <x v="0"/>
    <x v="5"/>
    <x v="582"/>
    <n v="5"/>
    <n v="9.2125000000000004"/>
    <n v="193.46250000000001"/>
    <x v="53"/>
    <d v="1899-12-30T18:53:00"/>
    <x v="1"/>
    <n v="184.25"/>
    <n v="4.7619047620000003"/>
    <n v="9.2125000000000004"/>
    <n v="9.1999999999999993"/>
  </r>
  <r>
    <x v="599"/>
    <x v="0"/>
    <x v="0"/>
    <x v="0"/>
    <x v="0"/>
    <x v="2"/>
    <x v="583"/>
    <n v="2"/>
    <n v="7.032"/>
    <n v="147.672"/>
    <x v="62"/>
    <d v="1899-12-30T14:22:00"/>
    <x v="0"/>
    <n v="140.63999999999999"/>
    <n v="4.7619047620000003"/>
    <n v="7.032"/>
    <n v="9.6"/>
  </r>
  <r>
    <x v="600"/>
    <x v="1"/>
    <x v="1"/>
    <x v="1"/>
    <x v="1"/>
    <x v="1"/>
    <x v="584"/>
    <n v="1"/>
    <n v="4.1539999999999999"/>
    <n v="87.233999999999995"/>
    <x v="54"/>
    <d v="1899-12-30T17:16:00"/>
    <x v="0"/>
    <n v="83.08"/>
    <n v="4.7619047620000003"/>
    <n v="4.1539999999999999"/>
    <n v="6.4"/>
  </r>
  <r>
    <x v="601"/>
    <x v="1"/>
    <x v="1"/>
    <x v="1"/>
    <x v="0"/>
    <x v="5"/>
    <x v="585"/>
    <n v="1"/>
    <n v="3.2494999999999998"/>
    <n v="68.239500000000007"/>
    <x v="53"/>
    <d v="1899-12-30T10:06:00"/>
    <x v="2"/>
    <n v="64.989999999999995"/>
    <n v="4.7619047620000003"/>
    <n v="3.2494999999999998"/>
    <n v="4.5"/>
  </r>
  <r>
    <x v="602"/>
    <x v="1"/>
    <x v="1"/>
    <x v="1"/>
    <x v="1"/>
    <x v="4"/>
    <x v="586"/>
    <n v="10"/>
    <n v="38.78"/>
    <n v="814.38"/>
    <x v="86"/>
    <d v="1899-12-30T20:35:00"/>
    <x v="0"/>
    <n v="775.6"/>
    <n v="4.7619047620000003"/>
    <n v="38.78"/>
    <n v="6.9"/>
  </r>
  <r>
    <x v="603"/>
    <x v="2"/>
    <x v="2"/>
    <x v="1"/>
    <x v="0"/>
    <x v="3"/>
    <x v="587"/>
    <n v="6"/>
    <n v="16.353000000000002"/>
    <n v="343.41300000000001"/>
    <x v="85"/>
    <d v="1899-12-30T13:54:00"/>
    <x v="0"/>
    <n v="327.06"/>
    <n v="4.7619047620000003"/>
    <n v="16.353000000000002"/>
    <n v="7.8"/>
  </r>
  <r>
    <x v="604"/>
    <x v="1"/>
    <x v="1"/>
    <x v="0"/>
    <x v="0"/>
    <x v="5"/>
    <x v="588"/>
    <n v="7"/>
    <n v="18.1615"/>
    <n v="381.39150000000001"/>
    <x v="66"/>
    <d v="1899-12-30T20:08:00"/>
    <x v="1"/>
    <n v="363.23"/>
    <n v="4.7619047620000003"/>
    <n v="18.1615"/>
    <n v="4.5"/>
  </r>
  <r>
    <x v="605"/>
    <x v="2"/>
    <x v="2"/>
    <x v="1"/>
    <x v="1"/>
    <x v="2"/>
    <x v="589"/>
    <n v="4"/>
    <n v="6.35"/>
    <n v="133.35"/>
    <x v="4"/>
    <d v="1899-12-30T15:26:00"/>
    <x v="1"/>
    <n v="127"/>
    <n v="4.7619047620000003"/>
    <n v="6.35"/>
    <n v="8.6"/>
  </r>
  <r>
    <x v="606"/>
    <x v="0"/>
    <x v="0"/>
    <x v="0"/>
    <x v="0"/>
    <x v="5"/>
    <x v="590"/>
    <n v="7"/>
    <n v="18.7775"/>
    <n v="394.32749999999999"/>
    <x v="34"/>
    <d v="1899-12-30T12:56:00"/>
    <x v="0"/>
    <n v="375.55"/>
    <n v="4.7619047620000003"/>
    <n v="18.7775"/>
    <n v="5.2"/>
  </r>
  <r>
    <x v="607"/>
    <x v="1"/>
    <x v="1"/>
    <x v="0"/>
    <x v="0"/>
    <x v="4"/>
    <x v="591"/>
    <n v="4"/>
    <n v="9.9580000000000002"/>
    <n v="209.11799999999999"/>
    <x v="61"/>
    <d v="1899-12-30T19:16:00"/>
    <x v="2"/>
    <n v="199.16"/>
    <n v="4.7619047620000003"/>
    <n v="9.9580000000000002"/>
    <n v="6.4"/>
  </r>
  <r>
    <x v="608"/>
    <x v="0"/>
    <x v="0"/>
    <x v="1"/>
    <x v="1"/>
    <x v="5"/>
    <x v="59"/>
    <n v="1"/>
    <n v="1.5305"/>
    <n v="32.140500000000003"/>
    <x v="54"/>
    <d v="1899-12-30T12:20:00"/>
    <x v="0"/>
    <n v="30.61"/>
    <n v="4.7619047620000003"/>
    <n v="1.5305"/>
    <n v="5.2"/>
  </r>
  <r>
    <x v="609"/>
    <x v="2"/>
    <x v="2"/>
    <x v="0"/>
    <x v="1"/>
    <x v="4"/>
    <x v="592"/>
    <n v="2"/>
    <n v="5.7889999999999997"/>
    <n v="121.569"/>
    <x v="29"/>
    <d v="1899-12-30T10:37:00"/>
    <x v="0"/>
    <n v="115.78"/>
    <n v="4.7619047620000003"/>
    <n v="5.7889999999999997"/>
    <n v="8.9"/>
  </r>
  <r>
    <x v="610"/>
    <x v="0"/>
    <x v="0"/>
    <x v="1"/>
    <x v="0"/>
    <x v="1"/>
    <x v="593"/>
    <n v="1"/>
    <n v="1.448"/>
    <n v="30.408000000000001"/>
    <x v="13"/>
    <d v="1899-12-30T10:18:00"/>
    <x v="2"/>
    <n v="28.96"/>
    <n v="4.7619047620000003"/>
    <n v="1.448"/>
    <n v="6.2"/>
  </r>
  <r>
    <x v="611"/>
    <x v="1"/>
    <x v="1"/>
    <x v="0"/>
    <x v="0"/>
    <x v="4"/>
    <x v="594"/>
    <n v="9"/>
    <n v="44.536499999999997"/>
    <n v="935.26649999999995"/>
    <x v="11"/>
    <d v="1899-12-30T11:23:00"/>
    <x v="1"/>
    <n v="890.73"/>
    <n v="4.7619047620000003"/>
    <n v="44.536499999999997"/>
    <n v="6.7"/>
  </r>
  <r>
    <x v="612"/>
    <x v="2"/>
    <x v="2"/>
    <x v="0"/>
    <x v="1"/>
    <x v="5"/>
    <x v="595"/>
    <n v="3"/>
    <n v="13.983000000000001"/>
    <n v="293.64299999999997"/>
    <x v="46"/>
    <d v="1899-12-30T11:45:00"/>
    <x v="1"/>
    <n v="279.66000000000003"/>
    <n v="4.7619047620000003"/>
    <n v="13.983000000000001"/>
    <n v="7.2"/>
  </r>
  <r>
    <x v="613"/>
    <x v="1"/>
    <x v="1"/>
    <x v="0"/>
    <x v="1"/>
    <x v="3"/>
    <x v="596"/>
    <n v="1"/>
    <n v="4.0465"/>
    <n v="84.976500000000001"/>
    <x v="64"/>
    <d v="1899-12-30T16:08:00"/>
    <x v="2"/>
    <n v="80.930000000000007"/>
    <n v="4.7619047620000003"/>
    <n v="4.0465"/>
    <n v="9"/>
  </r>
  <r>
    <x v="614"/>
    <x v="0"/>
    <x v="0"/>
    <x v="0"/>
    <x v="1"/>
    <x v="4"/>
    <x v="597"/>
    <n v="10"/>
    <n v="33.725000000000001"/>
    <n v="708.22500000000002"/>
    <x v="36"/>
    <d v="1899-12-30T11:25:00"/>
    <x v="0"/>
    <n v="674.5"/>
    <n v="4.7619047620000003"/>
    <n v="33.725000000000001"/>
    <n v="4.2"/>
  </r>
  <r>
    <x v="615"/>
    <x v="0"/>
    <x v="0"/>
    <x v="0"/>
    <x v="0"/>
    <x v="3"/>
    <x v="598"/>
    <n v="9"/>
    <n v="17.423999999999999"/>
    <n v="365.904"/>
    <x v="80"/>
    <d v="1899-12-30T12:24:00"/>
    <x v="0"/>
    <n v="348.48"/>
    <n v="4.7619047620000003"/>
    <n v="17.423999999999999"/>
    <n v="4.2"/>
  </r>
  <r>
    <x v="616"/>
    <x v="2"/>
    <x v="2"/>
    <x v="0"/>
    <x v="1"/>
    <x v="3"/>
    <x v="599"/>
    <n v="6"/>
    <n v="21.78"/>
    <n v="457.38"/>
    <x v="50"/>
    <d v="1899-12-30T19:51:00"/>
    <x v="1"/>
    <n v="435.6"/>
    <n v="4.7619047620000003"/>
    <n v="21.78"/>
    <n v="6.9"/>
  </r>
  <r>
    <x v="617"/>
    <x v="1"/>
    <x v="1"/>
    <x v="0"/>
    <x v="1"/>
    <x v="1"/>
    <x v="600"/>
    <n v="5"/>
    <n v="21.977499999999999"/>
    <n v="461.52749999999997"/>
    <x v="86"/>
    <d v="1899-12-30T18:10:00"/>
    <x v="0"/>
    <n v="439.55"/>
    <n v="4.7619047620000003"/>
    <n v="21.977499999999999"/>
    <n v="4.4000000000000004"/>
  </r>
  <r>
    <x v="618"/>
    <x v="0"/>
    <x v="0"/>
    <x v="0"/>
    <x v="1"/>
    <x v="4"/>
    <x v="601"/>
    <n v="6"/>
    <n v="29.559000000000001"/>
    <n v="620.73900000000003"/>
    <x v="54"/>
    <d v="1899-12-30T11:22:00"/>
    <x v="2"/>
    <n v="591.17999999999995"/>
    <n v="4.7619047620000003"/>
    <n v="29.559000000000001"/>
    <n v="4"/>
  </r>
  <r>
    <x v="619"/>
    <x v="1"/>
    <x v="1"/>
    <x v="0"/>
    <x v="0"/>
    <x v="5"/>
    <x v="602"/>
    <n v="6"/>
    <n v="13.038"/>
    <n v="273.798"/>
    <x v="13"/>
    <d v="1899-12-30T17:55:00"/>
    <x v="0"/>
    <n v="260.76"/>
    <n v="4.7619047620000003"/>
    <n v="13.038"/>
    <n v="8.5"/>
  </r>
  <r>
    <x v="620"/>
    <x v="0"/>
    <x v="0"/>
    <x v="1"/>
    <x v="0"/>
    <x v="4"/>
    <x v="603"/>
    <n v="3"/>
    <n v="10.752000000000001"/>
    <n v="225.792"/>
    <x v="61"/>
    <d v="1899-12-30T15:30:00"/>
    <x v="2"/>
    <n v="215.04"/>
    <n v="4.7619047620000003"/>
    <n v="10.752000000000001"/>
    <n v="9.1999999999999993"/>
  </r>
  <r>
    <x v="621"/>
    <x v="0"/>
    <x v="0"/>
    <x v="0"/>
    <x v="0"/>
    <x v="4"/>
    <x v="604"/>
    <n v="1"/>
    <n v="4.5804999999999998"/>
    <n v="96.1905"/>
    <x v="80"/>
    <d v="1899-12-30T19:44:00"/>
    <x v="1"/>
    <n v="91.61"/>
    <n v="4.7619047620000003"/>
    <n v="4.5804999999999998"/>
    <n v="9.8000000000000007"/>
  </r>
  <r>
    <x v="622"/>
    <x v="2"/>
    <x v="2"/>
    <x v="0"/>
    <x v="0"/>
    <x v="2"/>
    <x v="605"/>
    <n v="7"/>
    <n v="33.106499999999997"/>
    <n v="695.23649999999998"/>
    <x v="29"/>
    <d v="1899-12-30T15:27:00"/>
    <x v="2"/>
    <n v="662.13"/>
    <n v="4.7619047620000003"/>
    <n v="33.106499999999997"/>
    <n v="4.9000000000000004"/>
  </r>
  <r>
    <x v="623"/>
    <x v="2"/>
    <x v="2"/>
    <x v="1"/>
    <x v="0"/>
    <x v="5"/>
    <x v="606"/>
    <n v="10"/>
    <n v="41.625"/>
    <n v="874.125"/>
    <x v="52"/>
    <d v="1899-12-30T11:25:00"/>
    <x v="2"/>
    <n v="832.5"/>
    <n v="4.7619047620000003"/>
    <n v="41.625"/>
    <n v="4.4000000000000004"/>
  </r>
  <r>
    <x v="624"/>
    <x v="2"/>
    <x v="2"/>
    <x v="0"/>
    <x v="1"/>
    <x v="5"/>
    <x v="607"/>
    <n v="1"/>
    <n v="4.5674999999999999"/>
    <n v="95.917500000000004"/>
    <x v="69"/>
    <d v="1899-12-30T15:42:00"/>
    <x v="1"/>
    <n v="91.35"/>
    <n v="4.7619047620000003"/>
    <n v="4.5674999999999999"/>
    <n v="6.8"/>
  </r>
  <r>
    <x v="625"/>
    <x v="2"/>
    <x v="2"/>
    <x v="0"/>
    <x v="0"/>
    <x v="4"/>
    <x v="608"/>
    <n v="2"/>
    <n v="7.8879999999999999"/>
    <n v="165.648"/>
    <x v="53"/>
    <d v="1899-12-30T16:04:00"/>
    <x v="1"/>
    <n v="157.76"/>
    <n v="4.7619047620000003"/>
    <n v="7.8879999999999999"/>
    <n v="9.1"/>
  </r>
  <r>
    <x v="626"/>
    <x v="0"/>
    <x v="0"/>
    <x v="1"/>
    <x v="1"/>
    <x v="3"/>
    <x v="609"/>
    <n v="2"/>
    <n v="6.0869999999999997"/>
    <n v="127.827"/>
    <x v="11"/>
    <d v="1899-12-30T12:37:00"/>
    <x v="0"/>
    <n v="121.74"/>
    <n v="4.7619047620000003"/>
    <n v="6.0869999999999997"/>
    <n v="8.6999999999999993"/>
  </r>
  <r>
    <x v="627"/>
    <x v="2"/>
    <x v="2"/>
    <x v="0"/>
    <x v="1"/>
    <x v="0"/>
    <x v="610"/>
    <n v="10"/>
    <n v="41.29"/>
    <n v="867.09"/>
    <x v="86"/>
    <d v="1899-12-30T14:41:00"/>
    <x v="1"/>
    <n v="825.8"/>
    <n v="4.7619047620000003"/>
    <n v="41.29"/>
    <n v="5"/>
  </r>
  <r>
    <x v="628"/>
    <x v="0"/>
    <x v="0"/>
    <x v="0"/>
    <x v="1"/>
    <x v="2"/>
    <x v="611"/>
    <n v="3"/>
    <n v="7.9950000000000001"/>
    <n v="167.89500000000001"/>
    <x v="25"/>
    <d v="1899-12-30T14:19:00"/>
    <x v="0"/>
    <n v="159.9"/>
    <n v="4.7619047620000003"/>
    <n v="7.9950000000000001"/>
    <n v="7.5"/>
  </r>
  <r>
    <x v="629"/>
    <x v="0"/>
    <x v="0"/>
    <x v="1"/>
    <x v="0"/>
    <x v="5"/>
    <x v="612"/>
    <n v="1"/>
    <n v="0.60450000000000004"/>
    <n v="12.6945"/>
    <x v="53"/>
    <d v="1899-12-30T18:19:00"/>
    <x v="2"/>
    <n v="12.09"/>
    <n v="4.7619047620000003"/>
    <n v="0.60450000000000004"/>
    <n v="8.1999999999999993"/>
  </r>
  <r>
    <x v="630"/>
    <x v="0"/>
    <x v="0"/>
    <x v="1"/>
    <x v="1"/>
    <x v="3"/>
    <x v="613"/>
    <n v="10"/>
    <n v="32.094999999999999"/>
    <n v="673.995"/>
    <x v="64"/>
    <d v="1899-12-30T14:08:00"/>
    <x v="2"/>
    <n v="641.9"/>
    <n v="4.7619047620000003"/>
    <n v="32.094999999999999"/>
    <n v="6.7"/>
  </r>
  <r>
    <x v="631"/>
    <x v="0"/>
    <x v="0"/>
    <x v="1"/>
    <x v="1"/>
    <x v="1"/>
    <x v="77"/>
    <n v="3"/>
    <n v="11.746499999999999"/>
    <n v="246.6765"/>
    <x v="19"/>
    <d v="1899-12-30T16:38:00"/>
    <x v="0"/>
    <n v="234.93"/>
    <n v="4.7619047620000003"/>
    <n v="11.746499999999999"/>
    <n v="5.4"/>
  </r>
  <r>
    <x v="632"/>
    <x v="0"/>
    <x v="0"/>
    <x v="0"/>
    <x v="1"/>
    <x v="4"/>
    <x v="461"/>
    <n v="2"/>
    <n v="8.3770000000000007"/>
    <n v="175.917"/>
    <x v="15"/>
    <d v="1899-12-30T10:54:00"/>
    <x v="2"/>
    <n v="167.54"/>
    <n v="4.7619047620000003"/>
    <n v="8.3770000000000007"/>
    <n v="7"/>
  </r>
  <r>
    <x v="633"/>
    <x v="2"/>
    <x v="2"/>
    <x v="1"/>
    <x v="1"/>
    <x v="2"/>
    <x v="614"/>
    <n v="3"/>
    <n v="14.955"/>
    <n v="314.05500000000001"/>
    <x v="79"/>
    <d v="1899-12-30T11:29:00"/>
    <x v="0"/>
    <n v="299.10000000000002"/>
    <n v="4.7619047620000003"/>
    <n v="14.955"/>
    <n v="4.7"/>
  </r>
  <r>
    <x v="634"/>
    <x v="2"/>
    <x v="2"/>
    <x v="0"/>
    <x v="1"/>
    <x v="4"/>
    <x v="615"/>
    <n v="3"/>
    <n v="11.986499999999999"/>
    <n v="251.7165"/>
    <x v="80"/>
    <d v="1899-12-30T19:28:00"/>
    <x v="2"/>
    <n v="239.73"/>
    <n v="4.7619047620000003"/>
    <n v="11.986499999999999"/>
    <n v="5"/>
  </r>
  <r>
    <x v="635"/>
    <x v="2"/>
    <x v="2"/>
    <x v="0"/>
    <x v="1"/>
    <x v="0"/>
    <x v="616"/>
    <n v="10"/>
    <n v="33.234999999999999"/>
    <n v="697.93499999999995"/>
    <x v="15"/>
    <d v="1899-12-30T15:01:00"/>
    <x v="2"/>
    <n v="664.7"/>
    <n v="4.7619047620000003"/>
    <n v="33.234999999999999"/>
    <n v="5"/>
  </r>
  <r>
    <x v="636"/>
    <x v="0"/>
    <x v="0"/>
    <x v="1"/>
    <x v="1"/>
    <x v="0"/>
    <x v="617"/>
    <n v="7"/>
    <n v="10.1325"/>
    <n v="212.7825"/>
    <x v="2"/>
    <d v="1899-12-30T20:31:00"/>
    <x v="2"/>
    <n v="202.65"/>
    <n v="4.7619047620000003"/>
    <n v="10.1325"/>
    <n v="6"/>
  </r>
  <r>
    <x v="637"/>
    <x v="1"/>
    <x v="1"/>
    <x v="1"/>
    <x v="0"/>
    <x v="1"/>
    <x v="618"/>
    <n v="1"/>
    <n v="2.31"/>
    <n v="48.51"/>
    <x v="35"/>
    <d v="1899-12-30T12:16:00"/>
    <x v="1"/>
    <n v="46.2"/>
    <n v="4.7619047620000003"/>
    <n v="2.31"/>
    <n v="6.3"/>
  </r>
  <r>
    <x v="638"/>
    <x v="2"/>
    <x v="2"/>
    <x v="0"/>
    <x v="0"/>
    <x v="4"/>
    <x v="619"/>
    <n v="5"/>
    <n v="4.4074999999999998"/>
    <n v="92.557500000000005"/>
    <x v="1"/>
    <d v="1899-12-30T15:27:00"/>
    <x v="1"/>
    <n v="88.15"/>
    <n v="4.7619047620000003"/>
    <n v="4.4074999999999998"/>
    <n v="8.5"/>
  </r>
  <r>
    <x v="639"/>
    <x v="2"/>
    <x v="2"/>
    <x v="1"/>
    <x v="1"/>
    <x v="5"/>
    <x v="620"/>
    <n v="3"/>
    <n v="7.8630000000000004"/>
    <n v="165.12299999999999"/>
    <x v="33"/>
    <d v="1899-12-30T17:36:00"/>
    <x v="0"/>
    <n v="157.26"/>
    <n v="4.7619047620000003"/>
    <n v="7.8630000000000004"/>
    <n v="7.5"/>
  </r>
  <r>
    <x v="640"/>
    <x v="2"/>
    <x v="2"/>
    <x v="0"/>
    <x v="0"/>
    <x v="4"/>
    <x v="621"/>
    <n v="3"/>
    <n v="14.8185"/>
    <n v="311.18849999999998"/>
    <x v="55"/>
    <d v="1899-12-30T20:00:00"/>
    <x v="0"/>
    <n v="296.37"/>
    <n v="4.7619047620000003"/>
    <n v="14.8185"/>
    <n v="6.4"/>
  </r>
  <r>
    <x v="641"/>
    <x v="1"/>
    <x v="1"/>
    <x v="0"/>
    <x v="0"/>
    <x v="1"/>
    <x v="622"/>
    <n v="8"/>
    <n v="35.42"/>
    <n v="743.82"/>
    <x v="35"/>
    <d v="1899-12-30T15:29:00"/>
    <x v="0"/>
    <n v="708.4"/>
    <n v="4.7619047620000003"/>
    <n v="35.42"/>
    <n v="4.7"/>
  </r>
  <r>
    <x v="642"/>
    <x v="2"/>
    <x v="2"/>
    <x v="0"/>
    <x v="1"/>
    <x v="1"/>
    <x v="623"/>
    <n v="2"/>
    <n v="5.5670000000000002"/>
    <n v="116.907"/>
    <x v="39"/>
    <d v="1899-12-30T15:08:00"/>
    <x v="0"/>
    <n v="111.34"/>
    <n v="4.7619047620000003"/>
    <n v="5.5670000000000002"/>
    <n v="6"/>
  </r>
  <r>
    <x v="643"/>
    <x v="1"/>
    <x v="1"/>
    <x v="0"/>
    <x v="0"/>
    <x v="4"/>
    <x v="624"/>
    <n v="8"/>
    <n v="29.007999999999999"/>
    <n v="609.16800000000001"/>
    <x v="73"/>
    <d v="1899-12-30T19:26:00"/>
    <x v="2"/>
    <n v="580.16"/>
    <n v="4.7619047620000003"/>
    <n v="29.007999999999999"/>
    <n v="4"/>
  </r>
  <r>
    <x v="644"/>
    <x v="1"/>
    <x v="1"/>
    <x v="0"/>
    <x v="1"/>
    <x v="1"/>
    <x v="625"/>
    <n v="5"/>
    <n v="3.0125000000000002"/>
    <n v="63.262500000000003"/>
    <x v="69"/>
    <d v="1899-12-30T15:53:00"/>
    <x v="0"/>
    <n v="60.25"/>
    <n v="4.7619047620000003"/>
    <n v="3.0125000000000002"/>
    <n v="5.5"/>
  </r>
  <r>
    <x v="645"/>
    <x v="0"/>
    <x v="0"/>
    <x v="0"/>
    <x v="1"/>
    <x v="2"/>
    <x v="626"/>
    <n v="9"/>
    <n v="8.7119999999999997"/>
    <n v="182.952"/>
    <x v="68"/>
    <d v="1899-12-30T18:43:00"/>
    <x v="0"/>
    <n v="174.24"/>
    <n v="4.7619047620000003"/>
    <n v="8.7119999999999997"/>
    <n v="8.6999999999999993"/>
  </r>
  <r>
    <x v="646"/>
    <x v="1"/>
    <x v="1"/>
    <x v="1"/>
    <x v="1"/>
    <x v="0"/>
    <x v="627"/>
    <n v="6"/>
    <n v="21.062999999999999"/>
    <n v="442.32299999999998"/>
    <x v="73"/>
    <d v="1899-12-30T14:58:00"/>
    <x v="1"/>
    <n v="421.26"/>
    <n v="4.7619047620000003"/>
    <n v="21.062999999999999"/>
    <n v="7.4"/>
  </r>
  <r>
    <x v="647"/>
    <x v="2"/>
    <x v="2"/>
    <x v="0"/>
    <x v="1"/>
    <x v="5"/>
    <x v="628"/>
    <n v="1"/>
    <n v="1.6815"/>
    <n v="35.311500000000002"/>
    <x v="80"/>
    <d v="1899-12-30T19:55:00"/>
    <x v="1"/>
    <n v="33.630000000000003"/>
    <n v="4.7619047620000003"/>
    <n v="1.6815"/>
    <n v="5.6"/>
  </r>
  <r>
    <x v="648"/>
    <x v="1"/>
    <x v="1"/>
    <x v="0"/>
    <x v="0"/>
    <x v="3"/>
    <x v="629"/>
    <n v="2"/>
    <n v="1.5489999999999999"/>
    <n v="32.529000000000003"/>
    <x v="65"/>
    <d v="1899-12-30T15:10:00"/>
    <x v="1"/>
    <n v="30.98"/>
    <n v="4.7619047620000003"/>
    <n v="1.5489999999999999"/>
    <n v="6.3"/>
  </r>
  <r>
    <x v="649"/>
    <x v="1"/>
    <x v="1"/>
    <x v="1"/>
    <x v="1"/>
    <x v="1"/>
    <x v="60"/>
    <n v="10"/>
    <n v="12.37"/>
    <n v="259.77"/>
    <x v="7"/>
    <d v="1899-12-30T16:44:00"/>
    <x v="1"/>
    <n v="247.4"/>
    <n v="4.7619047620000003"/>
    <n v="12.37"/>
    <n v="7.1"/>
  </r>
  <r>
    <x v="650"/>
    <x v="2"/>
    <x v="2"/>
    <x v="1"/>
    <x v="1"/>
    <x v="1"/>
    <x v="630"/>
    <n v="5"/>
    <n v="18.914999999999999"/>
    <n v="397.21499999999997"/>
    <x v="15"/>
    <d v="1899-12-30T18:22:00"/>
    <x v="0"/>
    <n v="378.3"/>
    <n v="4.7619047620000003"/>
    <n v="18.914999999999999"/>
    <n v="7.8"/>
  </r>
  <r>
    <x v="651"/>
    <x v="2"/>
    <x v="2"/>
    <x v="1"/>
    <x v="0"/>
    <x v="0"/>
    <x v="631"/>
    <n v="6"/>
    <n v="16.742999999999999"/>
    <n v="351.60300000000001"/>
    <x v="49"/>
    <d v="1899-12-30T11:52:00"/>
    <x v="1"/>
    <n v="334.86"/>
    <n v="4.7619047620000003"/>
    <n v="16.742999999999999"/>
    <n v="9.9"/>
  </r>
  <r>
    <x v="652"/>
    <x v="0"/>
    <x v="0"/>
    <x v="0"/>
    <x v="1"/>
    <x v="2"/>
    <x v="632"/>
    <n v="10"/>
    <n v="36.39"/>
    <n v="764.19"/>
    <x v="36"/>
    <d v="1899-12-30T17:24:00"/>
    <x v="1"/>
    <n v="727.8"/>
    <n v="4.7619047620000003"/>
    <n v="36.39"/>
    <n v="7.3"/>
  </r>
  <r>
    <x v="653"/>
    <x v="2"/>
    <x v="2"/>
    <x v="0"/>
    <x v="1"/>
    <x v="3"/>
    <x v="633"/>
    <n v="9"/>
    <n v="16.794"/>
    <n v="352.67399999999998"/>
    <x v="43"/>
    <d v="1899-12-30T15:31:00"/>
    <x v="0"/>
    <n v="335.88"/>
    <n v="4.7619047620000003"/>
    <n v="16.794"/>
    <n v="5.0999999999999996"/>
  </r>
  <r>
    <x v="654"/>
    <x v="2"/>
    <x v="2"/>
    <x v="0"/>
    <x v="1"/>
    <x v="5"/>
    <x v="634"/>
    <n v="4"/>
    <n v="12.036"/>
    <n v="252.756"/>
    <x v="69"/>
    <d v="1899-12-30T18:04:00"/>
    <x v="2"/>
    <n v="240.72"/>
    <n v="4.7619047620000003"/>
    <n v="12.036"/>
    <n v="9.4"/>
  </r>
  <r>
    <x v="655"/>
    <x v="0"/>
    <x v="0"/>
    <x v="1"/>
    <x v="0"/>
    <x v="1"/>
    <x v="635"/>
    <n v="3"/>
    <n v="2.3534999999999999"/>
    <n v="49.423499999999997"/>
    <x v="86"/>
    <d v="1899-12-30T14:13:00"/>
    <x v="2"/>
    <n v="47.07"/>
    <n v="4.7619047620000003"/>
    <n v="2.3534999999999999"/>
    <n v="5.8"/>
  </r>
  <r>
    <x v="656"/>
    <x v="1"/>
    <x v="1"/>
    <x v="1"/>
    <x v="0"/>
    <x v="1"/>
    <x v="374"/>
    <n v="1"/>
    <n v="4.9844999999999997"/>
    <n v="104.67449999999999"/>
    <x v="33"/>
    <d v="1899-12-30T10:23:00"/>
    <x v="2"/>
    <n v="99.69"/>
    <n v="4.7619047620000003"/>
    <n v="4.9844999999999997"/>
    <n v="8"/>
  </r>
  <r>
    <x v="657"/>
    <x v="0"/>
    <x v="0"/>
    <x v="0"/>
    <x v="0"/>
    <x v="5"/>
    <x v="636"/>
    <n v="3"/>
    <n v="13.2225"/>
    <n v="277.67250000000001"/>
    <x v="68"/>
    <d v="1899-12-30T10:11:00"/>
    <x v="0"/>
    <n v="264.45"/>
    <n v="4.7619047620000003"/>
    <n v="13.2225"/>
    <n v="7.9"/>
  </r>
  <r>
    <x v="658"/>
    <x v="0"/>
    <x v="0"/>
    <x v="0"/>
    <x v="0"/>
    <x v="3"/>
    <x v="637"/>
    <n v="5"/>
    <n v="6.9824999999999999"/>
    <n v="146.63249999999999"/>
    <x v="71"/>
    <d v="1899-12-30T15:48:00"/>
    <x v="1"/>
    <n v="139.65"/>
    <n v="4.7619047620000003"/>
    <n v="6.9824999999999999"/>
    <n v="5.9"/>
  </r>
  <r>
    <x v="659"/>
    <x v="0"/>
    <x v="0"/>
    <x v="0"/>
    <x v="1"/>
    <x v="5"/>
    <x v="638"/>
    <n v="1"/>
    <n v="2.7725"/>
    <n v="58.222499999999997"/>
    <x v="84"/>
    <d v="1899-12-30T17:46:00"/>
    <x v="2"/>
    <n v="55.45"/>
    <n v="4.7619047620000003"/>
    <n v="2.7725"/>
    <n v="4.9000000000000004"/>
  </r>
  <r>
    <x v="660"/>
    <x v="2"/>
    <x v="2"/>
    <x v="1"/>
    <x v="0"/>
    <x v="3"/>
    <x v="639"/>
    <n v="3"/>
    <n v="6.4455"/>
    <n v="135.35550000000001"/>
    <x v="36"/>
    <d v="1899-12-30T11:46:00"/>
    <x v="1"/>
    <n v="128.91"/>
    <n v="4.7619047620000003"/>
    <n v="6.4455"/>
    <n v="9.3000000000000007"/>
  </r>
  <r>
    <x v="661"/>
    <x v="1"/>
    <x v="1"/>
    <x v="0"/>
    <x v="1"/>
    <x v="3"/>
    <x v="640"/>
    <n v="7"/>
    <n v="5.9989999999999997"/>
    <n v="125.979"/>
    <x v="65"/>
    <d v="1899-12-30T12:07:00"/>
    <x v="2"/>
    <n v="119.98"/>
    <n v="4.7619047620000003"/>
    <n v="5.9989999999999997"/>
    <n v="7.9"/>
  </r>
  <r>
    <x v="662"/>
    <x v="2"/>
    <x v="2"/>
    <x v="0"/>
    <x v="0"/>
    <x v="5"/>
    <x v="641"/>
    <n v="6"/>
    <n v="17.625"/>
    <n v="370.125"/>
    <x v="62"/>
    <d v="1899-12-30T18:14:00"/>
    <x v="2"/>
    <n v="352.5"/>
    <n v="4.7619047620000003"/>
    <n v="17.625"/>
    <n v="5.9"/>
  </r>
  <r>
    <x v="663"/>
    <x v="1"/>
    <x v="1"/>
    <x v="0"/>
    <x v="0"/>
    <x v="4"/>
    <x v="642"/>
    <n v="10"/>
    <n v="43.55"/>
    <n v="914.55"/>
    <x v="12"/>
    <d v="1899-12-30T14:45:00"/>
    <x v="2"/>
    <n v="871"/>
    <n v="4.7619047620000003"/>
    <n v="43.55"/>
    <n v="9.9"/>
  </r>
  <r>
    <x v="664"/>
    <x v="1"/>
    <x v="1"/>
    <x v="1"/>
    <x v="0"/>
    <x v="3"/>
    <x v="643"/>
    <n v="2"/>
    <n v="9.8800000000000008"/>
    <n v="207.48"/>
    <x v="81"/>
    <d v="1899-12-30T11:39:00"/>
    <x v="1"/>
    <n v="197.6"/>
    <n v="4.7619047620000003"/>
    <n v="9.8800000000000008"/>
    <n v="7.7"/>
  </r>
  <r>
    <x v="665"/>
    <x v="0"/>
    <x v="0"/>
    <x v="1"/>
    <x v="0"/>
    <x v="5"/>
    <x v="644"/>
    <n v="4"/>
    <n v="9.7260000000000009"/>
    <n v="204.24600000000001"/>
    <x v="87"/>
    <d v="1899-12-30T15:44:00"/>
    <x v="0"/>
    <n v="194.52"/>
    <n v="4.7619047620000003"/>
    <n v="9.7260000000000009"/>
    <n v="7.6"/>
  </r>
  <r>
    <x v="666"/>
    <x v="2"/>
    <x v="2"/>
    <x v="0"/>
    <x v="1"/>
    <x v="4"/>
    <x v="645"/>
    <n v="3"/>
    <n v="8.6609999999999996"/>
    <n v="181.881"/>
    <x v="9"/>
    <d v="1899-12-30T13:06:00"/>
    <x v="0"/>
    <n v="173.22"/>
    <n v="4.7619047620000003"/>
    <n v="8.6609999999999996"/>
    <n v="7.7"/>
  </r>
  <r>
    <x v="667"/>
    <x v="2"/>
    <x v="2"/>
    <x v="1"/>
    <x v="0"/>
    <x v="0"/>
    <x v="646"/>
    <n v="4"/>
    <n v="3.5939999999999999"/>
    <n v="75.474000000000004"/>
    <x v="55"/>
    <d v="1899-12-30T20:43:00"/>
    <x v="0"/>
    <n v="71.88"/>
    <n v="4.7619047620000003"/>
    <n v="3.5939999999999999"/>
    <n v="6.4"/>
  </r>
  <r>
    <x v="668"/>
    <x v="1"/>
    <x v="1"/>
    <x v="0"/>
    <x v="0"/>
    <x v="0"/>
    <x v="647"/>
    <n v="6"/>
    <n v="14.313000000000001"/>
    <n v="300.57299999999998"/>
    <x v="69"/>
    <d v="1899-12-30T14:19:00"/>
    <x v="0"/>
    <n v="286.26"/>
    <n v="4.7619047620000003"/>
    <n v="14.313000000000001"/>
    <n v="4.4000000000000004"/>
  </r>
  <r>
    <x v="669"/>
    <x v="2"/>
    <x v="2"/>
    <x v="1"/>
    <x v="0"/>
    <x v="3"/>
    <x v="648"/>
    <n v="2"/>
    <n v="4.0620000000000003"/>
    <n v="85.302000000000007"/>
    <x v="29"/>
    <d v="1899-12-30T10:01:00"/>
    <x v="2"/>
    <n v="81.239999999999995"/>
    <n v="4.7619047620000003"/>
    <n v="4.0620000000000003"/>
    <n v="4.0999999999999996"/>
  </r>
  <r>
    <x v="670"/>
    <x v="0"/>
    <x v="0"/>
    <x v="0"/>
    <x v="1"/>
    <x v="5"/>
    <x v="649"/>
    <n v="10"/>
    <n v="28.02"/>
    <n v="588.41999999999996"/>
    <x v="78"/>
    <d v="1899-12-30T19:30:00"/>
    <x v="0"/>
    <n v="560.4"/>
    <n v="4.7619047620000003"/>
    <n v="28.02"/>
    <n v="4.4000000000000004"/>
  </r>
  <r>
    <x v="671"/>
    <x v="2"/>
    <x v="2"/>
    <x v="0"/>
    <x v="1"/>
    <x v="4"/>
    <x v="650"/>
    <n v="2"/>
    <n v="9.34"/>
    <n v="196.14"/>
    <x v="73"/>
    <d v="1899-12-30T16:34:00"/>
    <x v="1"/>
    <n v="186.8"/>
    <n v="4.7619047620000003"/>
    <n v="9.34"/>
    <n v="5.5"/>
  </r>
  <r>
    <x v="672"/>
    <x v="2"/>
    <x v="2"/>
    <x v="1"/>
    <x v="0"/>
    <x v="0"/>
    <x v="651"/>
    <n v="3"/>
    <n v="11.0115"/>
    <n v="231.2415"/>
    <x v="22"/>
    <d v="1899-12-30T13:10:00"/>
    <x v="0"/>
    <n v="220.23"/>
    <n v="4.7619047620000003"/>
    <n v="11.0115"/>
    <n v="4"/>
  </r>
  <r>
    <x v="673"/>
    <x v="1"/>
    <x v="1"/>
    <x v="1"/>
    <x v="1"/>
    <x v="0"/>
    <x v="652"/>
    <n v="8"/>
    <n v="13.456"/>
    <n v="282.57600000000002"/>
    <x v="42"/>
    <d v="1899-12-30T17:10:00"/>
    <x v="2"/>
    <n v="269.12"/>
    <n v="4.7619047620000003"/>
    <n v="13.456"/>
    <n v="9.3000000000000007"/>
  </r>
  <r>
    <x v="674"/>
    <x v="0"/>
    <x v="0"/>
    <x v="1"/>
    <x v="0"/>
    <x v="1"/>
    <x v="653"/>
    <n v="10"/>
    <n v="22.74"/>
    <n v="477.54"/>
    <x v="59"/>
    <d v="1899-12-30T10:22:00"/>
    <x v="2"/>
    <n v="454.8"/>
    <n v="4.7619047620000003"/>
    <n v="22.74"/>
    <n v="4.8"/>
  </r>
  <r>
    <x v="675"/>
    <x v="2"/>
    <x v="2"/>
    <x v="0"/>
    <x v="1"/>
    <x v="5"/>
    <x v="461"/>
    <n v="2"/>
    <n v="8.3770000000000007"/>
    <n v="175.917"/>
    <x v="7"/>
    <d v="1899-12-30T19:57:00"/>
    <x v="1"/>
    <n v="167.54"/>
    <n v="4.7619047620000003"/>
    <n v="8.3770000000000007"/>
    <n v="4.5999999999999996"/>
  </r>
  <r>
    <x v="676"/>
    <x v="2"/>
    <x v="2"/>
    <x v="0"/>
    <x v="0"/>
    <x v="3"/>
    <x v="654"/>
    <n v="7"/>
    <n v="22.428000000000001"/>
    <n v="470.988"/>
    <x v="88"/>
    <d v="1899-12-30T19:29:00"/>
    <x v="2"/>
    <n v="448.56"/>
    <n v="4.7619047620000003"/>
    <n v="22.428000000000001"/>
    <n v="7.3"/>
  </r>
  <r>
    <x v="677"/>
    <x v="0"/>
    <x v="0"/>
    <x v="0"/>
    <x v="0"/>
    <x v="4"/>
    <x v="655"/>
    <n v="4"/>
    <n v="14.694000000000001"/>
    <n v="308.57400000000001"/>
    <x v="55"/>
    <d v="1899-12-30T18:30:00"/>
    <x v="1"/>
    <n v="293.88"/>
    <n v="4.7619047620000003"/>
    <n v="14.694000000000001"/>
    <n v="6"/>
  </r>
  <r>
    <x v="678"/>
    <x v="1"/>
    <x v="1"/>
    <x v="1"/>
    <x v="1"/>
    <x v="0"/>
    <x v="656"/>
    <n v="10"/>
    <n v="29.475000000000001"/>
    <n v="618.97500000000002"/>
    <x v="13"/>
    <d v="1899-12-30T14:27:00"/>
    <x v="0"/>
    <n v="589.5"/>
    <n v="4.7619047620000003"/>
    <n v="29.475000000000001"/>
    <n v="8.1"/>
  </r>
  <r>
    <x v="679"/>
    <x v="0"/>
    <x v="0"/>
    <x v="0"/>
    <x v="1"/>
    <x v="4"/>
    <x v="495"/>
    <n v="6"/>
    <n v="14.55"/>
    <n v="305.55"/>
    <x v="83"/>
    <d v="1899-12-30T13:57:00"/>
    <x v="0"/>
    <n v="291"/>
    <n v="4.7619047620000003"/>
    <n v="14.55"/>
    <n v="9.4"/>
  </r>
  <r>
    <x v="680"/>
    <x v="2"/>
    <x v="2"/>
    <x v="0"/>
    <x v="0"/>
    <x v="1"/>
    <x v="657"/>
    <n v="1"/>
    <n v="1.974"/>
    <n v="41.454000000000001"/>
    <x v="12"/>
    <d v="1899-12-30T19:43:00"/>
    <x v="1"/>
    <n v="39.479999999999997"/>
    <n v="4.7619047620000003"/>
    <n v="1.974"/>
    <n v="6.5"/>
  </r>
  <r>
    <x v="681"/>
    <x v="2"/>
    <x v="2"/>
    <x v="1"/>
    <x v="0"/>
    <x v="3"/>
    <x v="658"/>
    <n v="1"/>
    <n v="1.7404999999999999"/>
    <n v="36.5505"/>
    <x v="78"/>
    <d v="1899-12-30T10:11:00"/>
    <x v="2"/>
    <n v="34.81"/>
    <n v="4.7619047620000003"/>
    <n v="1.7404999999999999"/>
    <n v="7"/>
  </r>
  <r>
    <x v="682"/>
    <x v="1"/>
    <x v="1"/>
    <x v="1"/>
    <x v="0"/>
    <x v="5"/>
    <x v="659"/>
    <n v="6"/>
    <n v="14.795999999999999"/>
    <n v="310.71600000000001"/>
    <x v="51"/>
    <d v="1899-12-30T13:46:00"/>
    <x v="0"/>
    <n v="295.92"/>
    <n v="4.7619047620000003"/>
    <n v="14.795999999999999"/>
    <n v="7.1"/>
  </r>
  <r>
    <x v="683"/>
    <x v="0"/>
    <x v="0"/>
    <x v="0"/>
    <x v="1"/>
    <x v="5"/>
    <x v="660"/>
    <n v="2"/>
    <n v="2.1480000000000001"/>
    <n v="45.107999999999997"/>
    <x v="33"/>
    <d v="1899-12-30T12:22:00"/>
    <x v="0"/>
    <n v="42.96"/>
    <n v="4.7619047620000003"/>
    <n v="2.1480000000000001"/>
    <n v="6.6"/>
  </r>
  <r>
    <x v="684"/>
    <x v="2"/>
    <x v="2"/>
    <x v="0"/>
    <x v="0"/>
    <x v="3"/>
    <x v="661"/>
    <n v="6"/>
    <n v="6.9240000000000004"/>
    <n v="145.404"/>
    <x v="46"/>
    <d v="1899-12-30T19:20:00"/>
    <x v="0"/>
    <n v="138.47999999999999"/>
    <n v="4.7619047620000003"/>
    <n v="6.9240000000000004"/>
    <n v="4.9000000000000004"/>
  </r>
  <r>
    <x v="685"/>
    <x v="2"/>
    <x v="2"/>
    <x v="0"/>
    <x v="0"/>
    <x v="2"/>
    <x v="662"/>
    <n v="2"/>
    <n v="4.91"/>
    <n v="103.11"/>
    <x v="66"/>
    <d v="1899-12-30T12:58:00"/>
    <x v="2"/>
    <n v="98.2"/>
    <n v="4.7619047620000003"/>
    <n v="4.91"/>
    <n v="6.4"/>
  </r>
  <r>
    <x v="686"/>
    <x v="2"/>
    <x v="2"/>
    <x v="0"/>
    <x v="0"/>
    <x v="3"/>
    <x v="663"/>
    <n v="2"/>
    <n v="6.4829999999999997"/>
    <n v="136.143"/>
    <x v="66"/>
    <d v="1899-12-30T11:59:00"/>
    <x v="2"/>
    <n v="129.66"/>
    <n v="4.7619047620000003"/>
    <n v="6.4829999999999997"/>
    <n v="8"/>
  </r>
  <r>
    <x v="687"/>
    <x v="0"/>
    <x v="0"/>
    <x v="0"/>
    <x v="1"/>
    <x v="2"/>
    <x v="664"/>
    <n v="10"/>
    <n v="31.78"/>
    <n v="667.38"/>
    <x v="65"/>
    <d v="1899-12-30T17:59:00"/>
    <x v="1"/>
    <n v="635.6"/>
    <n v="4.7619047620000003"/>
    <n v="31.78"/>
    <n v="4.3"/>
  </r>
  <r>
    <x v="688"/>
    <x v="1"/>
    <x v="1"/>
    <x v="0"/>
    <x v="1"/>
    <x v="3"/>
    <x v="665"/>
    <n v="2"/>
    <n v="7.2880000000000003"/>
    <n v="153.048"/>
    <x v="45"/>
    <d v="1899-12-30T12:51:00"/>
    <x v="1"/>
    <n v="145.76"/>
    <n v="4.7619047620000003"/>
    <n v="7.2880000000000003"/>
    <n v="6.1"/>
  </r>
  <r>
    <x v="689"/>
    <x v="0"/>
    <x v="0"/>
    <x v="1"/>
    <x v="0"/>
    <x v="4"/>
    <x v="666"/>
    <n v="3"/>
    <n v="10.065"/>
    <n v="211.36500000000001"/>
    <x v="42"/>
    <d v="1899-12-30T10:36:00"/>
    <x v="1"/>
    <n v="201.3"/>
    <n v="4.7619047620000003"/>
    <n v="10.065"/>
    <n v="7.5"/>
  </r>
  <r>
    <x v="690"/>
    <x v="1"/>
    <x v="1"/>
    <x v="0"/>
    <x v="0"/>
    <x v="3"/>
    <x v="667"/>
    <n v="9"/>
    <n v="31.5855"/>
    <n v="663.29549999999995"/>
    <x v="25"/>
    <d v="1899-12-30T13:38:00"/>
    <x v="1"/>
    <n v="631.71"/>
    <n v="4.7619047620000003"/>
    <n v="31.5855"/>
    <n v="6.7"/>
  </r>
  <r>
    <x v="691"/>
    <x v="1"/>
    <x v="1"/>
    <x v="0"/>
    <x v="1"/>
    <x v="4"/>
    <x v="668"/>
    <n v="7"/>
    <n v="19.263999999999999"/>
    <n v="404.54399999999998"/>
    <x v="41"/>
    <d v="1899-12-30T19:39:00"/>
    <x v="0"/>
    <n v="385.28"/>
    <n v="4.7619047620000003"/>
    <n v="19.263999999999999"/>
    <n v="5.2"/>
  </r>
  <r>
    <x v="692"/>
    <x v="0"/>
    <x v="0"/>
    <x v="0"/>
    <x v="1"/>
    <x v="0"/>
    <x v="644"/>
    <n v="10"/>
    <n v="24.315000000000001"/>
    <n v="510.61500000000001"/>
    <x v="31"/>
    <d v="1899-12-30T12:44:00"/>
    <x v="1"/>
    <n v="486.3"/>
    <n v="4.7619047620000003"/>
    <n v="24.315000000000001"/>
    <n v="8.8000000000000007"/>
  </r>
  <r>
    <x v="693"/>
    <x v="1"/>
    <x v="1"/>
    <x v="0"/>
    <x v="0"/>
    <x v="5"/>
    <x v="669"/>
    <n v="7"/>
    <n v="25.683"/>
    <n v="539.34299999999996"/>
    <x v="34"/>
    <d v="1899-12-30T13:56:00"/>
    <x v="1"/>
    <n v="513.66"/>
    <n v="4.7619047620000003"/>
    <n v="25.683"/>
    <n v="9.5"/>
  </r>
  <r>
    <x v="694"/>
    <x v="1"/>
    <x v="1"/>
    <x v="1"/>
    <x v="0"/>
    <x v="4"/>
    <x v="670"/>
    <n v="9"/>
    <n v="23.67"/>
    <n v="497.07"/>
    <x v="65"/>
    <d v="1899-12-30T14:42:00"/>
    <x v="1"/>
    <n v="473.4"/>
    <n v="4.7619047620000003"/>
    <n v="23.67"/>
    <n v="7.6"/>
  </r>
  <r>
    <x v="695"/>
    <x v="0"/>
    <x v="0"/>
    <x v="0"/>
    <x v="0"/>
    <x v="2"/>
    <x v="671"/>
    <n v="5"/>
    <n v="21.842500000000001"/>
    <n v="458.6925"/>
    <x v="71"/>
    <d v="1899-12-30T19:45:00"/>
    <x v="1"/>
    <n v="436.85"/>
    <n v="4.7619047620000003"/>
    <n v="21.842500000000001"/>
    <n v="6.6"/>
  </r>
  <r>
    <x v="696"/>
    <x v="0"/>
    <x v="0"/>
    <x v="0"/>
    <x v="0"/>
    <x v="3"/>
    <x v="672"/>
    <n v="4"/>
    <n v="5.4080000000000004"/>
    <n v="113.568"/>
    <x v="17"/>
    <d v="1899-12-30T20:26:00"/>
    <x v="0"/>
    <n v="108.16"/>
    <n v="4.7619047620000003"/>
    <n v="5.4080000000000004"/>
    <n v="6.9"/>
  </r>
  <r>
    <x v="697"/>
    <x v="2"/>
    <x v="2"/>
    <x v="1"/>
    <x v="1"/>
    <x v="2"/>
    <x v="673"/>
    <n v="4"/>
    <n v="12.438000000000001"/>
    <n v="261.19799999999998"/>
    <x v="47"/>
    <d v="1899-12-30T19:46:00"/>
    <x v="0"/>
    <n v="248.76"/>
    <n v="4.7619047620000003"/>
    <n v="12.438000000000001"/>
    <n v="4.3"/>
  </r>
  <r>
    <x v="698"/>
    <x v="0"/>
    <x v="0"/>
    <x v="0"/>
    <x v="1"/>
    <x v="1"/>
    <x v="674"/>
    <n v="9"/>
    <n v="31.311"/>
    <n v="657.53099999999995"/>
    <x v="88"/>
    <d v="1899-12-30T19:38:00"/>
    <x v="2"/>
    <n v="626.22"/>
    <n v="4.7619047620000003"/>
    <n v="31.311"/>
    <n v="7.8"/>
  </r>
  <r>
    <x v="699"/>
    <x v="1"/>
    <x v="1"/>
    <x v="1"/>
    <x v="1"/>
    <x v="2"/>
    <x v="675"/>
    <n v="10"/>
    <n v="48.75"/>
    <n v="1023.75"/>
    <x v="52"/>
    <d v="1899-12-30T16:18:00"/>
    <x v="0"/>
    <n v="975"/>
    <n v="4.7619047620000003"/>
    <n v="48.75"/>
    <n v="8"/>
  </r>
  <r>
    <x v="700"/>
    <x v="1"/>
    <x v="1"/>
    <x v="1"/>
    <x v="0"/>
    <x v="5"/>
    <x v="676"/>
    <n v="8"/>
    <n v="24.164000000000001"/>
    <n v="507.44400000000002"/>
    <x v="13"/>
    <d v="1899-12-30T12:23:00"/>
    <x v="0"/>
    <n v="483.28"/>
    <n v="4.7619047620000003"/>
    <n v="24.164000000000001"/>
    <n v="9.6"/>
  </r>
  <r>
    <x v="701"/>
    <x v="2"/>
    <x v="2"/>
    <x v="1"/>
    <x v="1"/>
    <x v="4"/>
    <x v="379"/>
    <n v="3"/>
    <n v="4.8479999999999999"/>
    <n v="101.80800000000001"/>
    <x v="39"/>
    <d v="1899-12-30T19:11:00"/>
    <x v="2"/>
    <n v="96.96"/>
    <n v="4.7619047620000003"/>
    <n v="4.8479999999999999"/>
    <n v="4.3"/>
  </r>
  <r>
    <x v="702"/>
    <x v="2"/>
    <x v="2"/>
    <x v="0"/>
    <x v="0"/>
    <x v="5"/>
    <x v="677"/>
    <n v="10"/>
    <n v="9.8849999999999998"/>
    <n v="207.58500000000001"/>
    <x v="33"/>
    <d v="1899-12-30T18:57:00"/>
    <x v="2"/>
    <n v="197.7"/>
    <n v="4.7619047620000003"/>
    <n v="9.8849999999999998"/>
    <n v="5"/>
  </r>
  <r>
    <x v="703"/>
    <x v="2"/>
    <x v="2"/>
    <x v="0"/>
    <x v="1"/>
    <x v="0"/>
    <x v="678"/>
    <n v="9"/>
    <n v="36.211500000000001"/>
    <n v="760.44150000000002"/>
    <x v="47"/>
    <d v="1899-12-30T11:18:00"/>
    <x v="1"/>
    <n v="724.23"/>
    <n v="4.7619047620000003"/>
    <n v="36.211500000000001"/>
    <n v="9.1999999999999993"/>
  </r>
  <r>
    <x v="704"/>
    <x v="2"/>
    <x v="2"/>
    <x v="0"/>
    <x v="0"/>
    <x v="2"/>
    <x v="679"/>
    <n v="9"/>
    <n v="39.775500000000001"/>
    <n v="835.28549999999996"/>
    <x v="22"/>
    <d v="1899-12-30T12:40:00"/>
    <x v="1"/>
    <n v="795.51"/>
    <n v="4.7619047620000003"/>
    <n v="39.775500000000001"/>
    <n v="6.3"/>
  </r>
  <r>
    <x v="705"/>
    <x v="2"/>
    <x v="2"/>
    <x v="1"/>
    <x v="1"/>
    <x v="0"/>
    <x v="680"/>
    <n v="7"/>
    <n v="25.119499999999999"/>
    <n v="527.5095"/>
    <x v="14"/>
    <d v="1899-12-30T14:06:00"/>
    <x v="1"/>
    <n v="502.39"/>
    <n v="4.7619047620000003"/>
    <n v="25.119499999999999"/>
    <n v="8.9"/>
  </r>
  <r>
    <x v="706"/>
    <x v="2"/>
    <x v="2"/>
    <x v="1"/>
    <x v="0"/>
    <x v="1"/>
    <x v="681"/>
    <n v="4"/>
    <n v="8.6"/>
    <n v="180.6"/>
    <x v="82"/>
    <d v="1899-12-30T20:48:00"/>
    <x v="0"/>
    <n v="172"/>
    <n v="4.7619047620000003"/>
    <n v="8.6"/>
    <n v="7.6"/>
  </r>
  <r>
    <x v="707"/>
    <x v="1"/>
    <x v="1"/>
    <x v="0"/>
    <x v="1"/>
    <x v="4"/>
    <x v="682"/>
    <n v="1"/>
    <n v="3.4489999999999998"/>
    <n v="72.429000000000002"/>
    <x v="18"/>
    <d v="1899-12-30T20:13:00"/>
    <x v="1"/>
    <n v="68.98"/>
    <n v="4.7619047620000003"/>
    <n v="3.4489999999999998"/>
    <n v="4.8"/>
  </r>
  <r>
    <x v="708"/>
    <x v="1"/>
    <x v="1"/>
    <x v="1"/>
    <x v="1"/>
    <x v="5"/>
    <x v="683"/>
    <n v="8"/>
    <n v="6.2480000000000002"/>
    <n v="131.208"/>
    <x v="40"/>
    <d v="1899-12-30T20:37:00"/>
    <x v="0"/>
    <n v="124.96"/>
    <n v="4.7619047620000003"/>
    <n v="6.2480000000000002"/>
    <n v="9.1"/>
  </r>
  <r>
    <x v="709"/>
    <x v="0"/>
    <x v="0"/>
    <x v="1"/>
    <x v="1"/>
    <x v="3"/>
    <x v="684"/>
    <n v="3"/>
    <n v="3.855"/>
    <n v="80.954999999999998"/>
    <x v="29"/>
    <d v="1899-12-30T17:59:00"/>
    <x v="0"/>
    <n v="77.099999999999994"/>
    <n v="4.7619047620000003"/>
    <n v="3.855"/>
    <n v="6.1"/>
  </r>
  <r>
    <x v="710"/>
    <x v="0"/>
    <x v="0"/>
    <x v="0"/>
    <x v="1"/>
    <x v="4"/>
    <x v="685"/>
    <n v="6"/>
    <n v="24.186"/>
    <n v="507.90600000000001"/>
    <x v="38"/>
    <d v="1899-12-30T20:18:00"/>
    <x v="1"/>
    <n v="483.72"/>
    <n v="4.7619047620000003"/>
    <n v="24.186"/>
    <n v="9.1"/>
  </r>
  <r>
    <x v="711"/>
    <x v="1"/>
    <x v="1"/>
    <x v="0"/>
    <x v="0"/>
    <x v="2"/>
    <x v="686"/>
    <n v="4"/>
    <n v="15.106"/>
    <n v="317.226"/>
    <x v="35"/>
    <d v="1899-12-30T15:52:00"/>
    <x v="0"/>
    <n v="302.12"/>
    <n v="4.7619047620000003"/>
    <n v="15.106"/>
    <n v="8.3000000000000007"/>
  </r>
  <r>
    <x v="712"/>
    <x v="1"/>
    <x v="1"/>
    <x v="1"/>
    <x v="0"/>
    <x v="1"/>
    <x v="687"/>
    <n v="9"/>
    <n v="34.933500000000002"/>
    <n v="733.60350000000005"/>
    <x v="88"/>
    <d v="1899-12-30T15:14:00"/>
    <x v="0"/>
    <n v="698.67"/>
    <n v="4.7619047620000003"/>
    <n v="34.933500000000002"/>
    <n v="7.2"/>
  </r>
  <r>
    <x v="713"/>
    <x v="1"/>
    <x v="1"/>
    <x v="1"/>
    <x v="0"/>
    <x v="0"/>
    <x v="688"/>
    <n v="9"/>
    <n v="6.2324999999999999"/>
    <n v="130.88249999999999"/>
    <x v="87"/>
    <d v="1899-12-30T12:50:00"/>
    <x v="0"/>
    <n v="124.65"/>
    <n v="4.7619047620000003"/>
    <n v="6.2324999999999999"/>
    <n v="6"/>
  </r>
  <r>
    <x v="714"/>
    <x v="1"/>
    <x v="1"/>
    <x v="0"/>
    <x v="1"/>
    <x v="5"/>
    <x v="43"/>
    <n v="8"/>
    <n v="39.479999999999997"/>
    <n v="829.08"/>
    <x v="82"/>
    <d v="1899-12-30T10:36:00"/>
    <x v="0"/>
    <n v="789.6"/>
    <n v="4.7619047620000003"/>
    <n v="39.479999999999997"/>
    <n v="8.5"/>
  </r>
  <r>
    <x v="715"/>
    <x v="0"/>
    <x v="0"/>
    <x v="1"/>
    <x v="0"/>
    <x v="0"/>
    <x v="689"/>
    <n v="5"/>
    <n v="8.92"/>
    <n v="187.32"/>
    <x v="10"/>
    <d v="1899-12-30T18:33:00"/>
    <x v="2"/>
    <n v="178.4"/>
    <n v="4.7619047620000003"/>
    <n v="8.92"/>
    <n v="6.6"/>
  </r>
  <r>
    <x v="716"/>
    <x v="0"/>
    <x v="0"/>
    <x v="0"/>
    <x v="0"/>
    <x v="5"/>
    <x v="690"/>
    <n v="7"/>
    <n v="25.010999999999999"/>
    <n v="525.23099999999999"/>
    <x v="61"/>
    <d v="1899-12-30T16:06:00"/>
    <x v="0"/>
    <n v="500.22"/>
    <n v="4.7619047620000003"/>
    <n v="25.010999999999999"/>
    <n v="4.5"/>
  </r>
  <r>
    <x v="717"/>
    <x v="0"/>
    <x v="0"/>
    <x v="0"/>
    <x v="1"/>
    <x v="1"/>
    <x v="691"/>
    <n v="3"/>
    <n v="1.7909999999999999"/>
    <n v="37.610999999999997"/>
    <x v="64"/>
    <d v="1899-12-30T12:47:00"/>
    <x v="2"/>
    <n v="35.82"/>
    <n v="4.7619047620000003"/>
    <n v="1.7909999999999999"/>
    <n v="8.1"/>
  </r>
  <r>
    <x v="718"/>
    <x v="0"/>
    <x v="0"/>
    <x v="1"/>
    <x v="1"/>
    <x v="5"/>
    <x v="408"/>
    <n v="3"/>
    <n v="6.8070000000000004"/>
    <n v="142.947"/>
    <x v="21"/>
    <d v="1899-12-30T13:34:00"/>
    <x v="2"/>
    <n v="136.13999999999999"/>
    <n v="4.7619047620000003"/>
    <n v="6.8070000000000004"/>
    <n v="7.2"/>
  </r>
  <r>
    <x v="719"/>
    <x v="2"/>
    <x v="2"/>
    <x v="0"/>
    <x v="0"/>
    <x v="5"/>
    <x v="692"/>
    <n v="6"/>
    <n v="5.2439999999999998"/>
    <n v="110.124"/>
    <x v="68"/>
    <d v="1899-12-30T15:04:00"/>
    <x v="2"/>
    <n v="104.88"/>
    <n v="4.7619047620000003"/>
    <n v="5.2439999999999998"/>
    <n v="6.1"/>
  </r>
  <r>
    <x v="720"/>
    <x v="2"/>
    <x v="2"/>
    <x v="1"/>
    <x v="0"/>
    <x v="5"/>
    <x v="693"/>
    <n v="7"/>
    <n v="8.9459999999999997"/>
    <n v="187.86600000000001"/>
    <x v="30"/>
    <d v="1899-12-30T20:42:00"/>
    <x v="1"/>
    <n v="178.92"/>
    <n v="4.7619047620000003"/>
    <n v="8.9459999999999997"/>
    <n v="7.1"/>
  </r>
  <r>
    <x v="721"/>
    <x v="1"/>
    <x v="1"/>
    <x v="0"/>
    <x v="0"/>
    <x v="3"/>
    <x v="694"/>
    <n v="9"/>
    <n v="40.783499999999997"/>
    <n v="856.45349999999996"/>
    <x v="68"/>
    <d v="1899-12-30T15:28:00"/>
    <x v="1"/>
    <n v="815.67"/>
    <n v="4.7619047620000003"/>
    <n v="40.783499999999997"/>
    <n v="5.0999999999999996"/>
  </r>
  <r>
    <x v="722"/>
    <x v="2"/>
    <x v="2"/>
    <x v="1"/>
    <x v="1"/>
    <x v="2"/>
    <x v="695"/>
    <n v="3"/>
    <n v="6.6180000000000003"/>
    <n v="138.97800000000001"/>
    <x v="79"/>
    <d v="1899-12-30T13:45:00"/>
    <x v="2"/>
    <n v="132.36000000000001"/>
    <n v="4.7619047620000003"/>
    <n v="6.6180000000000003"/>
    <n v="7.9"/>
  </r>
  <r>
    <x v="723"/>
    <x v="1"/>
    <x v="1"/>
    <x v="0"/>
    <x v="0"/>
    <x v="4"/>
    <x v="696"/>
    <n v="7"/>
    <n v="12.8695"/>
    <n v="270.2595"/>
    <x v="83"/>
    <d v="1899-12-30T20:10:00"/>
    <x v="1"/>
    <n v="257.39"/>
    <n v="4.7619047620000003"/>
    <n v="12.8695"/>
    <n v="7.4"/>
  </r>
  <r>
    <x v="724"/>
    <x v="2"/>
    <x v="2"/>
    <x v="0"/>
    <x v="1"/>
    <x v="4"/>
    <x v="697"/>
    <n v="4"/>
    <n v="4.6680000000000001"/>
    <n v="98.028000000000006"/>
    <x v="87"/>
    <d v="1899-12-30T18:53:00"/>
    <x v="0"/>
    <n v="93.36"/>
    <n v="4.7619047620000003"/>
    <n v="4.6680000000000001"/>
    <n v="7.4"/>
  </r>
  <r>
    <x v="725"/>
    <x v="1"/>
    <x v="1"/>
    <x v="0"/>
    <x v="0"/>
    <x v="0"/>
    <x v="698"/>
    <n v="8"/>
    <n v="11.4"/>
    <n v="239.4"/>
    <x v="10"/>
    <d v="1899-12-30T14:24:00"/>
    <x v="1"/>
    <n v="228"/>
    <n v="4.7619047620000003"/>
    <n v="11.4"/>
    <n v="6.6"/>
  </r>
  <r>
    <x v="726"/>
    <x v="1"/>
    <x v="1"/>
    <x v="0"/>
    <x v="1"/>
    <x v="2"/>
    <x v="699"/>
    <n v="3"/>
    <n v="8.3354999999999997"/>
    <n v="175.0455"/>
    <x v="66"/>
    <d v="1899-12-30T11:42:00"/>
    <x v="2"/>
    <n v="166.71"/>
    <n v="4.7619047620000003"/>
    <n v="8.3354999999999997"/>
    <n v="5.9"/>
  </r>
  <r>
    <x v="727"/>
    <x v="2"/>
    <x v="2"/>
    <x v="1"/>
    <x v="1"/>
    <x v="3"/>
    <x v="700"/>
    <n v="10"/>
    <n v="34.869999999999997"/>
    <n v="732.27"/>
    <x v="19"/>
    <d v="1899-12-30T17:49:00"/>
    <x v="2"/>
    <n v="697.4"/>
    <n v="4.7619047620000003"/>
    <n v="34.869999999999997"/>
    <n v="8.9"/>
  </r>
  <r>
    <x v="728"/>
    <x v="1"/>
    <x v="1"/>
    <x v="1"/>
    <x v="1"/>
    <x v="5"/>
    <x v="701"/>
    <n v="4"/>
    <n v="19.452000000000002"/>
    <n v="408.49200000000002"/>
    <x v="32"/>
    <d v="1899-12-30T15:33:00"/>
    <x v="0"/>
    <n v="389.04"/>
    <n v="4.7619047620000003"/>
    <n v="19.452000000000002"/>
    <n v="6.8"/>
  </r>
  <r>
    <x v="729"/>
    <x v="2"/>
    <x v="2"/>
    <x v="0"/>
    <x v="0"/>
    <x v="2"/>
    <x v="702"/>
    <n v="7"/>
    <n v="18.263000000000002"/>
    <n v="383.52300000000002"/>
    <x v="11"/>
    <d v="1899-12-30T10:54:00"/>
    <x v="1"/>
    <n v="365.26"/>
    <n v="4.7619047620000003"/>
    <n v="18.263000000000002"/>
    <n v="9.3000000000000007"/>
  </r>
  <r>
    <x v="730"/>
    <x v="0"/>
    <x v="0"/>
    <x v="0"/>
    <x v="0"/>
    <x v="5"/>
    <x v="703"/>
    <n v="4"/>
    <n v="4.4640000000000004"/>
    <n v="93.744"/>
    <x v="59"/>
    <d v="1899-12-30T16:23:00"/>
    <x v="2"/>
    <n v="89.28"/>
    <n v="4.7619047620000003"/>
    <n v="4.4640000000000004"/>
    <n v="4.4000000000000004"/>
  </r>
  <r>
    <x v="731"/>
    <x v="0"/>
    <x v="0"/>
    <x v="1"/>
    <x v="1"/>
    <x v="0"/>
    <x v="704"/>
    <n v="3"/>
    <n v="8.4"/>
    <n v="176.4"/>
    <x v="38"/>
    <d v="1899-12-30T19:33:00"/>
    <x v="0"/>
    <n v="168"/>
    <n v="4.7619047620000003"/>
    <n v="8.4"/>
    <n v="4.8"/>
  </r>
  <r>
    <x v="732"/>
    <x v="0"/>
    <x v="0"/>
    <x v="0"/>
    <x v="1"/>
    <x v="5"/>
    <x v="705"/>
    <n v="1"/>
    <n v="0.98499999999999999"/>
    <n v="20.684999999999999"/>
    <x v="4"/>
    <d v="1899-12-30T11:39:00"/>
    <x v="0"/>
    <n v="19.7"/>
    <n v="4.7619047620000003"/>
    <n v="0.98499999999999999"/>
    <n v="9.5"/>
  </r>
  <r>
    <x v="733"/>
    <x v="2"/>
    <x v="2"/>
    <x v="1"/>
    <x v="1"/>
    <x v="1"/>
    <x v="528"/>
    <n v="7"/>
    <n v="26.558"/>
    <n v="557.71799999999996"/>
    <x v="46"/>
    <d v="1899-12-30T10:38:00"/>
    <x v="0"/>
    <n v="531.16"/>
    <n v="4.7619047620000003"/>
    <n v="26.558"/>
    <n v="8.9"/>
  </r>
  <r>
    <x v="734"/>
    <x v="2"/>
    <x v="2"/>
    <x v="0"/>
    <x v="1"/>
    <x v="4"/>
    <x v="706"/>
    <n v="1"/>
    <n v="2.6859999999999999"/>
    <n v="56.405999999999999"/>
    <x v="59"/>
    <d v="1899-12-30T20:03:00"/>
    <x v="0"/>
    <n v="53.72"/>
    <n v="4.7619047620000003"/>
    <n v="2.6859999999999999"/>
    <n v="6.4"/>
  </r>
  <r>
    <x v="735"/>
    <x v="1"/>
    <x v="1"/>
    <x v="0"/>
    <x v="1"/>
    <x v="0"/>
    <x v="707"/>
    <n v="10"/>
    <n v="40.975000000000001"/>
    <n v="860.47500000000002"/>
    <x v="24"/>
    <d v="1899-12-30T12:39:00"/>
    <x v="2"/>
    <n v="819.5"/>
    <n v="4.7619047620000003"/>
    <n v="40.975000000000001"/>
    <n v="6"/>
  </r>
  <r>
    <x v="736"/>
    <x v="1"/>
    <x v="1"/>
    <x v="0"/>
    <x v="0"/>
    <x v="2"/>
    <x v="708"/>
    <n v="7"/>
    <n v="28.42"/>
    <n v="596.82000000000005"/>
    <x v="28"/>
    <d v="1899-12-30T15:59:00"/>
    <x v="2"/>
    <n v="568.4"/>
    <n v="4.7619047620000003"/>
    <n v="28.42"/>
    <n v="8.1"/>
  </r>
  <r>
    <x v="737"/>
    <x v="1"/>
    <x v="1"/>
    <x v="1"/>
    <x v="1"/>
    <x v="1"/>
    <x v="709"/>
    <n v="10"/>
    <n v="29.38"/>
    <n v="616.98"/>
    <x v="71"/>
    <d v="1899-12-30T14:26:00"/>
    <x v="0"/>
    <n v="587.6"/>
    <n v="4.7619047620000003"/>
    <n v="29.38"/>
    <n v="9"/>
  </r>
  <r>
    <x v="738"/>
    <x v="2"/>
    <x v="2"/>
    <x v="0"/>
    <x v="1"/>
    <x v="1"/>
    <x v="710"/>
    <n v="8"/>
    <n v="36.624000000000002"/>
    <n v="769.10400000000004"/>
    <x v="52"/>
    <d v="1899-12-30T18:22:00"/>
    <x v="0"/>
    <n v="732.48"/>
    <n v="4.7619047620000003"/>
    <n v="36.624000000000002"/>
    <n v="6"/>
  </r>
  <r>
    <x v="739"/>
    <x v="0"/>
    <x v="0"/>
    <x v="1"/>
    <x v="1"/>
    <x v="2"/>
    <x v="45"/>
    <n v="9"/>
    <n v="42.281999999999996"/>
    <n v="887.92200000000003"/>
    <x v="80"/>
    <d v="1899-12-30T11:32:00"/>
    <x v="1"/>
    <n v="845.64"/>
    <n v="4.7619047620000003"/>
    <n v="42.281999999999996"/>
    <n v="9.8000000000000007"/>
  </r>
  <r>
    <x v="740"/>
    <x v="1"/>
    <x v="1"/>
    <x v="1"/>
    <x v="1"/>
    <x v="2"/>
    <x v="711"/>
    <n v="7"/>
    <n v="19.4635"/>
    <n v="408.73349999999999"/>
    <x v="28"/>
    <d v="1899-12-30T12:41:00"/>
    <x v="1"/>
    <n v="389.27"/>
    <n v="4.7619047620000003"/>
    <n v="19.4635"/>
    <n v="8.5"/>
  </r>
  <r>
    <x v="741"/>
    <x v="1"/>
    <x v="1"/>
    <x v="1"/>
    <x v="1"/>
    <x v="4"/>
    <x v="712"/>
    <n v="1"/>
    <n v="4.2415000000000003"/>
    <n v="89.0715"/>
    <x v="78"/>
    <d v="1899-12-30T15:20:00"/>
    <x v="0"/>
    <n v="84.83"/>
    <n v="4.7619047620000003"/>
    <n v="4.2415000000000003"/>
    <n v="8.8000000000000007"/>
  </r>
  <r>
    <x v="742"/>
    <x v="0"/>
    <x v="0"/>
    <x v="0"/>
    <x v="0"/>
    <x v="3"/>
    <x v="713"/>
    <n v="2"/>
    <n v="7.1630000000000003"/>
    <n v="150.423"/>
    <x v="12"/>
    <d v="1899-12-30T14:33:00"/>
    <x v="0"/>
    <n v="143.26"/>
    <n v="4.7619047620000003"/>
    <n v="7.1630000000000003"/>
    <n v="8.8000000000000007"/>
  </r>
  <r>
    <x v="743"/>
    <x v="0"/>
    <x v="0"/>
    <x v="0"/>
    <x v="1"/>
    <x v="2"/>
    <x v="714"/>
    <n v="2"/>
    <n v="3.7690000000000001"/>
    <n v="79.149000000000001"/>
    <x v="9"/>
    <d v="1899-12-30T15:29:00"/>
    <x v="0"/>
    <n v="75.38"/>
    <n v="4.7619047620000003"/>
    <n v="3.7690000000000001"/>
    <n v="9.5"/>
  </r>
  <r>
    <x v="744"/>
    <x v="1"/>
    <x v="1"/>
    <x v="0"/>
    <x v="0"/>
    <x v="3"/>
    <x v="715"/>
    <n v="8"/>
    <n v="12.667999999999999"/>
    <n v="266.02800000000002"/>
    <x v="56"/>
    <d v="1899-12-30T16:19:00"/>
    <x v="2"/>
    <n v="253.36"/>
    <n v="4.7619047620000003"/>
    <n v="12.667999999999999"/>
    <n v="5.6"/>
  </r>
  <r>
    <x v="745"/>
    <x v="1"/>
    <x v="1"/>
    <x v="0"/>
    <x v="0"/>
    <x v="4"/>
    <x v="716"/>
    <n v="1"/>
    <n v="1.921"/>
    <n v="40.341000000000001"/>
    <x v="30"/>
    <d v="1899-12-30T16:33:00"/>
    <x v="1"/>
    <n v="38.42"/>
    <n v="4.7619047620000003"/>
    <n v="1.921"/>
    <n v="8.6"/>
  </r>
  <r>
    <x v="746"/>
    <x v="2"/>
    <x v="2"/>
    <x v="0"/>
    <x v="1"/>
    <x v="5"/>
    <x v="717"/>
    <n v="10"/>
    <n v="32.615000000000002"/>
    <n v="684.91499999999996"/>
    <x v="66"/>
    <d v="1899-12-30T19:07:00"/>
    <x v="2"/>
    <n v="652.29999999999995"/>
    <n v="4.7619047620000003"/>
    <n v="32.615000000000002"/>
    <n v="5.2"/>
  </r>
  <r>
    <x v="747"/>
    <x v="1"/>
    <x v="1"/>
    <x v="0"/>
    <x v="0"/>
    <x v="2"/>
    <x v="718"/>
    <n v="5"/>
    <n v="2.6324999999999998"/>
    <n v="55.282499999999999"/>
    <x v="74"/>
    <d v="1899-12-30T14:43:00"/>
    <x v="2"/>
    <n v="52.65"/>
    <n v="4.7619047620000003"/>
    <n v="2.6324999999999998"/>
    <n v="5.8"/>
  </r>
  <r>
    <x v="748"/>
    <x v="2"/>
    <x v="2"/>
    <x v="0"/>
    <x v="0"/>
    <x v="2"/>
    <x v="719"/>
    <n v="9"/>
    <n v="5.5305"/>
    <n v="116.1405"/>
    <x v="58"/>
    <d v="1899-12-30T19:28:00"/>
    <x v="2"/>
    <n v="110.61"/>
    <n v="4.7619047620000003"/>
    <n v="5.5305"/>
    <n v="8"/>
  </r>
  <r>
    <x v="749"/>
    <x v="1"/>
    <x v="1"/>
    <x v="0"/>
    <x v="1"/>
    <x v="0"/>
    <x v="720"/>
    <n v="7"/>
    <n v="28.430499999999999"/>
    <n v="597.04049999999995"/>
    <x v="15"/>
    <d v="1899-12-30T20:44:00"/>
    <x v="1"/>
    <n v="568.61"/>
    <n v="4.7619047620000003"/>
    <n v="28.430499999999999"/>
    <n v="9"/>
  </r>
  <r>
    <x v="750"/>
    <x v="2"/>
    <x v="2"/>
    <x v="0"/>
    <x v="0"/>
    <x v="5"/>
    <x v="703"/>
    <n v="4"/>
    <n v="4.4640000000000004"/>
    <n v="93.744"/>
    <x v="86"/>
    <d v="1899-12-30T11:16:00"/>
    <x v="0"/>
    <n v="89.28"/>
    <n v="4.7619047620000003"/>
    <n v="4.4640000000000004"/>
    <n v="4.0999999999999996"/>
  </r>
  <r>
    <x v="751"/>
    <x v="0"/>
    <x v="0"/>
    <x v="1"/>
    <x v="0"/>
    <x v="4"/>
    <x v="721"/>
    <n v="5"/>
    <n v="6.82"/>
    <n v="143.22"/>
    <x v="36"/>
    <d v="1899-12-30T10:31:00"/>
    <x v="2"/>
    <n v="136.4"/>
    <n v="4.7619047620000003"/>
    <n v="6.82"/>
    <n v="8.6"/>
  </r>
  <r>
    <x v="752"/>
    <x v="0"/>
    <x v="0"/>
    <x v="0"/>
    <x v="0"/>
    <x v="1"/>
    <x v="722"/>
    <n v="10"/>
    <n v="8.7100000000000009"/>
    <n v="182.91"/>
    <x v="70"/>
    <d v="1899-12-30T12:30:00"/>
    <x v="0"/>
    <n v="174.2"/>
    <n v="4.7619047620000003"/>
    <n v="8.7100000000000009"/>
    <n v="7"/>
  </r>
  <r>
    <x v="753"/>
    <x v="2"/>
    <x v="2"/>
    <x v="1"/>
    <x v="1"/>
    <x v="2"/>
    <x v="723"/>
    <n v="5"/>
    <n v="18.32"/>
    <n v="384.72"/>
    <x v="46"/>
    <d v="1899-12-30T15:05:00"/>
    <x v="0"/>
    <n v="366.4"/>
    <n v="4.7619047620000003"/>
    <n v="18.32"/>
    <n v="8.4"/>
  </r>
  <r>
    <x v="754"/>
    <x v="1"/>
    <x v="1"/>
    <x v="0"/>
    <x v="0"/>
    <x v="5"/>
    <x v="724"/>
    <n v="3"/>
    <n v="12.730499999999999"/>
    <n v="267.34050000000002"/>
    <x v="25"/>
    <d v="1899-12-30T18:30:00"/>
    <x v="0"/>
    <n v="254.61"/>
    <n v="4.7619047620000003"/>
    <n v="12.730499999999999"/>
    <n v="7.4"/>
  </r>
  <r>
    <x v="755"/>
    <x v="0"/>
    <x v="0"/>
    <x v="1"/>
    <x v="0"/>
    <x v="5"/>
    <x v="725"/>
    <n v="8"/>
    <n v="38.915999999999997"/>
    <n v="817.23599999999999"/>
    <x v="11"/>
    <d v="1899-12-30T13:18:00"/>
    <x v="2"/>
    <n v="778.32"/>
    <n v="4.7619047620000003"/>
    <n v="38.915999999999997"/>
    <n v="6.2"/>
  </r>
  <r>
    <x v="756"/>
    <x v="2"/>
    <x v="2"/>
    <x v="0"/>
    <x v="0"/>
    <x v="1"/>
    <x v="726"/>
    <n v="8"/>
    <n v="14.295999999999999"/>
    <n v="300.21600000000001"/>
    <x v="21"/>
    <d v="1899-12-30T15:28:00"/>
    <x v="0"/>
    <n v="285.92"/>
    <n v="4.7619047620000003"/>
    <n v="14.295999999999999"/>
    <n v="4.9000000000000004"/>
  </r>
  <r>
    <x v="757"/>
    <x v="0"/>
    <x v="0"/>
    <x v="1"/>
    <x v="0"/>
    <x v="2"/>
    <x v="727"/>
    <n v="6"/>
    <n v="28.956"/>
    <n v="608.07600000000002"/>
    <x v="83"/>
    <d v="1899-12-30T11:52:00"/>
    <x v="1"/>
    <n v="579.12"/>
    <n v="4.7619047620000003"/>
    <n v="28.956"/>
    <n v="4.5"/>
  </r>
  <r>
    <x v="758"/>
    <x v="0"/>
    <x v="0"/>
    <x v="0"/>
    <x v="1"/>
    <x v="4"/>
    <x v="728"/>
    <n v="10"/>
    <n v="9.4250000000000007"/>
    <n v="197.92500000000001"/>
    <x v="33"/>
    <d v="1899-12-30T18:24:00"/>
    <x v="0"/>
    <n v="188.5"/>
    <n v="4.7619047620000003"/>
    <n v="9.4250000000000007"/>
    <n v="5.6"/>
  </r>
  <r>
    <x v="759"/>
    <x v="0"/>
    <x v="0"/>
    <x v="1"/>
    <x v="0"/>
    <x v="4"/>
    <x v="729"/>
    <n v="4"/>
    <n v="11.077999999999999"/>
    <n v="232.63800000000001"/>
    <x v="5"/>
    <d v="1899-12-30T15:19:00"/>
    <x v="0"/>
    <n v="221.56"/>
    <n v="4.7619047620000003"/>
    <n v="11.077999999999999"/>
    <n v="8"/>
  </r>
  <r>
    <x v="760"/>
    <x v="2"/>
    <x v="2"/>
    <x v="0"/>
    <x v="0"/>
    <x v="4"/>
    <x v="730"/>
    <n v="10"/>
    <n v="38.6"/>
    <n v="810.6"/>
    <x v="48"/>
    <d v="1899-12-30T10:38:00"/>
    <x v="2"/>
    <n v="772"/>
    <n v="4.7619047620000003"/>
    <n v="38.6"/>
    <n v="5.6"/>
  </r>
  <r>
    <x v="761"/>
    <x v="2"/>
    <x v="2"/>
    <x v="1"/>
    <x v="1"/>
    <x v="1"/>
    <x v="731"/>
    <n v="10"/>
    <n v="36.064999999999998"/>
    <n v="757.36500000000001"/>
    <x v="82"/>
    <d v="1899-12-30T15:12:00"/>
    <x v="2"/>
    <n v="721.3"/>
    <n v="4.7619047620000003"/>
    <n v="36.064999999999998"/>
    <n v="4.2"/>
  </r>
  <r>
    <x v="762"/>
    <x v="0"/>
    <x v="0"/>
    <x v="0"/>
    <x v="0"/>
    <x v="5"/>
    <x v="732"/>
    <n v="8"/>
    <n v="25.552"/>
    <n v="536.59199999999998"/>
    <x v="40"/>
    <d v="1899-12-30T17:48:00"/>
    <x v="0"/>
    <n v="511.04"/>
    <n v="4.7619047620000003"/>
    <n v="25.552"/>
    <n v="9.9"/>
  </r>
  <r>
    <x v="763"/>
    <x v="0"/>
    <x v="0"/>
    <x v="0"/>
    <x v="0"/>
    <x v="0"/>
    <x v="733"/>
    <n v="5"/>
    <n v="2.6724999999999999"/>
    <n v="56.122500000000002"/>
    <x v="58"/>
    <d v="1899-12-30T11:07:00"/>
    <x v="0"/>
    <n v="53.45"/>
    <n v="4.7619047620000003"/>
    <n v="2.6724999999999999"/>
    <n v="7.6"/>
  </r>
  <r>
    <x v="764"/>
    <x v="0"/>
    <x v="0"/>
    <x v="0"/>
    <x v="1"/>
    <x v="0"/>
    <x v="734"/>
    <n v="4"/>
    <n v="11.1"/>
    <n v="233.1"/>
    <x v="40"/>
    <d v="1899-12-30T15:48:00"/>
    <x v="2"/>
    <n v="222"/>
    <n v="4.7619047620000003"/>
    <n v="11.1"/>
    <n v="6.6"/>
  </r>
  <r>
    <x v="765"/>
    <x v="2"/>
    <x v="2"/>
    <x v="1"/>
    <x v="0"/>
    <x v="2"/>
    <x v="735"/>
    <n v="8"/>
    <n v="38.183999999999997"/>
    <n v="801.86400000000003"/>
    <x v="19"/>
    <d v="1899-12-30T19:40:00"/>
    <x v="0"/>
    <n v="763.68"/>
    <n v="4.7619047620000003"/>
    <n v="38.183999999999997"/>
    <n v="4.7"/>
  </r>
  <r>
    <x v="766"/>
    <x v="1"/>
    <x v="1"/>
    <x v="1"/>
    <x v="0"/>
    <x v="5"/>
    <x v="736"/>
    <n v="3"/>
    <n v="11.409000000000001"/>
    <n v="239.589"/>
    <x v="0"/>
    <d v="1899-12-30T20:30:00"/>
    <x v="2"/>
    <n v="228.18"/>
    <n v="4.7619047620000003"/>
    <n v="11.409000000000001"/>
    <n v="9.8000000000000007"/>
  </r>
  <r>
    <x v="767"/>
    <x v="2"/>
    <x v="2"/>
    <x v="1"/>
    <x v="1"/>
    <x v="3"/>
    <x v="737"/>
    <n v="6"/>
    <n v="4.1070000000000002"/>
    <n v="86.247"/>
    <x v="77"/>
    <d v="1899-12-30T13:59:00"/>
    <x v="1"/>
    <n v="82.14"/>
    <n v="4.7619047620000003"/>
    <n v="4.1070000000000002"/>
    <n v="6.3"/>
  </r>
  <r>
    <x v="768"/>
    <x v="2"/>
    <x v="2"/>
    <x v="1"/>
    <x v="0"/>
    <x v="1"/>
    <x v="738"/>
    <n v="4"/>
    <n v="19.128"/>
    <n v="401.68799999999999"/>
    <x v="32"/>
    <d v="1899-12-30T18:51:00"/>
    <x v="1"/>
    <n v="382.56"/>
    <n v="4.7619047620000003"/>
    <n v="19.128"/>
    <n v="7.9"/>
  </r>
  <r>
    <x v="769"/>
    <x v="0"/>
    <x v="0"/>
    <x v="1"/>
    <x v="0"/>
    <x v="2"/>
    <x v="739"/>
    <n v="6"/>
    <n v="3.4289999999999998"/>
    <n v="72.009"/>
    <x v="15"/>
    <d v="1899-12-30T17:24:00"/>
    <x v="1"/>
    <n v="68.58"/>
    <n v="4.7619047620000003"/>
    <n v="3.4289999999999998"/>
    <n v="7.7"/>
  </r>
  <r>
    <x v="770"/>
    <x v="2"/>
    <x v="2"/>
    <x v="0"/>
    <x v="0"/>
    <x v="3"/>
    <x v="425"/>
    <n v="4"/>
    <n v="19.108000000000001"/>
    <n v="401.26799999999997"/>
    <x v="84"/>
    <d v="1899-12-30T11:58:00"/>
    <x v="0"/>
    <n v="382.16"/>
    <n v="4.7619047620000003"/>
    <n v="19.108000000000001"/>
    <n v="4.5"/>
  </r>
  <r>
    <x v="771"/>
    <x v="1"/>
    <x v="1"/>
    <x v="0"/>
    <x v="0"/>
    <x v="0"/>
    <x v="740"/>
    <n v="7"/>
    <n v="30.054500000000001"/>
    <n v="631.14449999999999"/>
    <x v="33"/>
    <d v="1899-12-30T19:01:00"/>
    <x v="2"/>
    <n v="601.09"/>
    <n v="4.7619047620000003"/>
    <n v="30.054500000000001"/>
    <n v="8"/>
  </r>
  <r>
    <x v="772"/>
    <x v="1"/>
    <x v="1"/>
    <x v="0"/>
    <x v="0"/>
    <x v="3"/>
    <x v="741"/>
    <n v="7"/>
    <n v="23.796500000000002"/>
    <n v="499.72649999999999"/>
    <x v="21"/>
    <d v="1899-12-30T16:50:00"/>
    <x v="0"/>
    <n v="475.93"/>
    <n v="4.7619047620000003"/>
    <n v="23.796500000000002"/>
    <n v="5.7"/>
  </r>
  <r>
    <x v="773"/>
    <x v="1"/>
    <x v="1"/>
    <x v="1"/>
    <x v="0"/>
    <x v="4"/>
    <x v="620"/>
    <n v="1"/>
    <n v="2.621"/>
    <n v="55.040999999999997"/>
    <x v="10"/>
    <d v="1899-12-30T10:22:00"/>
    <x v="2"/>
    <n v="52.42"/>
    <n v="4.7619047620000003"/>
    <n v="2.621"/>
    <n v="6.3"/>
  </r>
  <r>
    <x v="774"/>
    <x v="1"/>
    <x v="1"/>
    <x v="0"/>
    <x v="1"/>
    <x v="4"/>
    <x v="742"/>
    <n v="2"/>
    <n v="6.5650000000000004"/>
    <n v="137.86500000000001"/>
    <x v="29"/>
    <d v="1899-12-30T16:46:00"/>
    <x v="1"/>
    <n v="131.30000000000001"/>
    <n v="4.7619047620000003"/>
    <n v="6.5650000000000004"/>
    <n v="6"/>
  </r>
  <r>
    <x v="775"/>
    <x v="2"/>
    <x v="2"/>
    <x v="1"/>
    <x v="0"/>
    <x v="4"/>
    <x v="743"/>
    <n v="5"/>
    <n v="7.2149999999999999"/>
    <n v="151.51499999999999"/>
    <x v="49"/>
    <d v="1899-12-30T18:08:00"/>
    <x v="2"/>
    <n v="144.30000000000001"/>
    <n v="4.7619047620000003"/>
    <n v="7.2149999999999999"/>
    <n v="8"/>
  </r>
  <r>
    <x v="776"/>
    <x v="1"/>
    <x v="1"/>
    <x v="0"/>
    <x v="1"/>
    <x v="0"/>
    <x v="744"/>
    <n v="7"/>
    <n v="22.858499999999999"/>
    <n v="480.02850000000001"/>
    <x v="19"/>
    <d v="1899-12-30T18:02:00"/>
    <x v="2"/>
    <n v="457.17"/>
    <n v="4.7619047620000003"/>
    <n v="22.858499999999999"/>
    <n v="4.2"/>
  </r>
  <r>
    <x v="777"/>
    <x v="2"/>
    <x v="2"/>
    <x v="1"/>
    <x v="1"/>
    <x v="3"/>
    <x v="745"/>
    <n v="1"/>
    <n v="4.6689999999999996"/>
    <n v="98.049000000000007"/>
    <x v="75"/>
    <d v="1899-12-30T13:07:00"/>
    <x v="1"/>
    <n v="93.38"/>
    <n v="4.7619047620000003"/>
    <n v="4.6689999999999996"/>
    <n v="9.6"/>
  </r>
  <r>
    <x v="778"/>
    <x v="1"/>
    <x v="1"/>
    <x v="0"/>
    <x v="1"/>
    <x v="3"/>
    <x v="746"/>
    <n v="5"/>
    <n v="6.3125"/>
    <n v="132.5625"/>
    <x v="80"/>
    <d v="1899-12-30T17:52:00"/>
    <x v="1"/>
    <n v="126.25"/>
    <n v="4.7619047620000003"/>
    <n v="6.3125"/>
    <n v="6.1"/>
  </r>
  <r>
    <x v="779"/>
    <x v="2"/>
    <x v="2"/>
    <x v="0"/>
    <x v="1"/>
    <x v="1"/>
    <x v="95"/>
    <n v="9"/>
    <n v="39.541499999999999"/>
    <n v="830.37149999999997"/>
    <x v="82"/>
    <d v="1899-12-30T20:32:00"/>
    <x v="0"/>
    <n v="790.83"/>
    <n v="4.7619047620000003"/>
    <n v="39.541499999999999"/>
    <n v="5.6"/>
  </r>
  <r>
    <x v="780"/>
    <x v="1"/>
    <x v="1"/>
    <x v="1"/>
    <x v="1"/>
    <x v="0"/>
    <x v="747"/>
    <n v="8"/>
    <n v="8.7200000000000006"/>
    <n v="183.12"/>
    <x v="88"/>
    <d v="1899-12-30T19:24:00"/>
    <x v="1"/>
    <n v="174.4"/>
    <n v="4.7619047620000003"/>
    <n v="8.7200000000000006"/>
    <n v="8.3000000000000007"/>
  </r>
  <r>
    <x v="781"/>
    <x v="0"/>
    <x v="0"/>
    <x v="1"/>
    <x v="0"/>
    <x v="3"/>
    <x v="748"/>
    <n v="4"/>
    <n v="18.952000000000002"/>
    <n v="397.99200000000002"/>
    <x v="48"/>
    <d v="1899-12-30T16:06:00"/>
    <x v="0"/>
    <n v="379.04"/>
    <n v="4.7619047620000003"/>
    <n v="18.952000000000002"/>
    <n v="7.8"/>
  </r>
  <r>
    <x v="782"/>
    <x v="0"/>
    <x v="0"/>
    <x v="0"/>
    <x v="0"/>
    <x v="5"/>
    <x v="749"/>
    <n v="1"/>
    <n v="1.5309999999999999"/>
    <n v="32.151000000000003"/>
    <x v="63"/>
    <d v="1899-12-30T14:14:00"/>
    <x v="2"/>
    <n v="30.62"/>
    <n v="4.7619047620000003"/>
    <n v="1.5309999999999999"/>
    <n v="4.0999999999999996"/>
  </r>
  <r>
    <x v="783"/>
    <x v="1"/>
    <x v="1"/>
    <x v="1"/>
    <x v="0"/>
    <x v="2"/>
    <x v="750"/>
    <n v="8"/>
    <n v="17.603999999999999"/>
    <n v="369.68400000000003"/>
    <x v="2"/>
    <d v="1899-12-30T17:36:00"/>
    <x v="1"/>
    <n v="352.08"/>
    <n v="4.7619047620000003"/>
    <n v="17.603999999999999"/>
    <n v="8.8000000000000007"/>
  </r>
  <r>
    <x v="784"/>
    <x v="1"/>
    <x v="1"/>
    <x v="0"/>
    <x v="0"/>
    <x v="0"/>
    <x v="751"/>
    <n v="5"/>
    <n v="2.54"/>
    <n v="53.34"/>
    <x v="7"/>
    <d v="1899-12-30T13:08:00"/>
    <x v="0"/>
    <n v="50.8"/>
    <n v="4.7619047620000003"/>
    <n v="2.54"/>
    <n v="4.0999999999999996"/>
  </r>
  <r>
    <x v="785"/>
    <x v="0"/>
    <x v="0"/>
    <x v="1"/>
    <x v="1"/>
    <x v="1"/>
    <x v="752"/>
    <n v="7"/>
    <n v="26.103000000000002"/>
    <n v="548.16300000000001"/>
    <x v="87"/>
    <d v="1899-12-30T16:09:00"/>
    <x v="2"/>
    <n v="522.05999999999995"/>
    <n v="4.7619047620000003"/>
    <n v="26.103000000000002"/>
    <n v="9"/>
  </r>
  <r>
    <x v="786"/>
    <x v="1"/>
    <x v="1"/>
    <x v="1"/>
    <x v="1"/>
    <x v="1"/>
    <x v="753"/>
    <n v="8"/>
    <n v="28.756"/>
    <n v="603.87599999999998"/>
    <x v="88"/>
    <d v="1899-12-30T11:33:00"/>
    <x v="0"/>
    <n v="575.12"/>
    <n v="4.7619047620000003"/>
    <n v="28.756"/>
    <n v="5.5"/>
  </r>
  <r>
    <x v="787"/>
    <x v="1"/>
    <x v="1"/>
    <x v="1"/>
    <x v="0"/>
    <x v="0"/>
    <x v="754"/>
    <n v="5"/>
    <n v="2.7475000000000001"/>
    <n v="57.697499999999998"/>
    <x v="54"/>
    <d v="1899-12-30T10:18:00"/>
    <x v="2"/>
    <n v="54.95"/>
    <n v="4.7619047620000003"/>
    <n v="2.7475000000000001"/>
    <n v="9.3000000000000007"/>
  </r>
  <r>
    <x v="788"/>
    <x v="1"/>
    <x v="1"/>
    <x v="0"/>
    <x v="1"/>
    <x v="0"/>
    <x v="755"/>
    <n v="3"/>
    <n v="9.0704999999999991"/>
    <n v="190.48050000000001"/>
    <x v="78"/>
    <d v="1899-12-30T10:55:00"/>
    <x v="2"/>
    <n v="181.41"/>
    <n v="4.7619047620000003"/>
    <n v="9.0704999999999991"/>
    <n v="5.6"/>
  </r>
  <r>
    <x v="789"/>
    <x v="0"/>
    <x v="0"/>
    <x v="1"/>
    <x v="1"/>
    <x v="3"/>
    <x v="756"/>
    <n v="7"/>
    <n v="20.618500000000001"/>
    <n v="432.98849999999999"/>
    <x v="29"/>
    <d v="1899-12-30T15:15:00"/>
    <x v="0"/>
    <n v="412.37"/>
    <n v="4.7619047620000003"/>
    <n v="20.618500000000001"/>
    <n v="9.6999999999999993"/>
  </r>
  <r>
    <x v="790"/>
    <x v="0"/>
    <x v="0"/>
    <x v="1"/>
    <x v="1"/>
    <x v="5"/>
    <x v="757"/>
    <n v="1"/>
    <n v="2.3205"/>
    <n v="48.730499999999999"/>
    <x v="2"/>
    <d v="1899-12-30T20:06:00"/>
    <x v="2"/>
    <n v="46.41"/>
    <n v="4.7619047620000003"/>
    <n v="2.3205"/>
    <n v="4"/>
  </r>
  <r>
    <x v="791"/>
    <x v="1"/>
    <x v="1"/>
    <x v="0"/>
    <x v="1"/>
    <x v="0"/>
    <x v="758"/>
    <n v="4"/>
    <n v="13.71"/>
    <n v="287.91000000000003"/>
    <x v="42"/>
    <d v="1899-12-30T20:21:00"/>
    <x v="2"/>
    <n v="274.2"/>
    <n v="4.7619047620000003"/>
    <n v="13.71"/>
    <n v="9.1999999999999993"/>
  </r>
  <r>
    <x v="792"/>
    <x v="2"/>
    <x v="2"/>
    <x v="1"/>
    <x v="0"/>
    <x v="2"/>
    <x v="759"/>
    <n v="10"/>
    <n v="48.685000000000002"/>
    <n v="1022.385"/>
    <x v="15"/>
    <d v="1899-12-30T13:48:00"/>
    <x v="2"/>
    <n v="973.7"/>
    <n v="4.7619047620000003"/>
    <n v="48.685000000000002"/>
    <n v="4.9000000000000004"/>
  </r>
  <r>
    <x v="793"/>
    <x v="0"/>
    <x v="0"/>
    <x v="0"/>
    <x v="1"/>
    <x v="1"/>
    <x v="760"/>
    <n v="7"/>
    <n v="32.409999999999997"/>
    <n v="680.61"/>
    <x v="33"/>
    <d v="1899-12-30T12:52:00"/>
    <x v="2"/>
    <n v="648.20000000000005"/>
    <n v="4.7619047620000003"/>
    <n v="32.409999999999997"/>
    <n v="9.3000000000000007"/>
  </r>
  <r>
    <x v="794"/>
    <x v="0"/>
    <x v="0"/>
    <x v="1"/>
    <x v="0"/>
    <x v="1"/>
    <x v="761"/>
    <n v="2"/>
    <n v="4.6609999999999996"/>
    <n v="97.881"/>
    <x v="84"/>
    <d v="1899-12-30T12:28:00"/>
    <x v="2"/>
    <n v="93.22"/>
    <n v="4.7619047620000003"/>
    <n v="4.6609999999999996"/>
    <n v="6.6"/>
  </r>
  <r>
    <x v="795"/>
    <x v="2"/>
    <x v="2"/>
    <x v="1"/>
    <x v="1"/>
    <x v="5"/>
    <x v="762"/>
    <n v="2"/>
    <n v="2.718"/>
    <n v="57.078000000000003"/>
    <x v="20"/>
    <d v="1899-12-30T16:26:00"/>
    <x v="0"/>
    <n v="54.36"/>
    <n v="4.7619047620000003"/>
    <n v="2.718"/>
    <n v="4.3"/>
  </r>
  <r>
    <x v="796"/>
    <x v="1"/>
    <x v="1"/>
    <x v="0"/>
    <x v="0"/>
    <x v="2"/>
    <x v="609"/>
    <n v="1"/>
    <n v="3.0434999999999999"/>
    <n v="63.913499999999999"/>
    <x v="46"/>
    <d v="1899-12-30T13:24:00"/>
    <x v="1"/>
    <n v="60.87"/>
    <n v="4.7619047620000003"/>
    <n v="3.0434999999999999"/>
    <n v="5.5"/>
  </r>
  <r>
    <x v="797"/>
    <x v="0"/>
    <x v="0"/>
    <x v="0"/>
    <x v="0"/>
    <x v="3"/>
    <x v="763"/>
    <n v="10"/>
    <n v="12.244999999999999"/>
    <n v="257.14499999999998"/>
    <x v="70"/>
    <d v="1899-12-30T15:15:00"/>
    <x v="1"/>
    <n v="244.9"/>
    <n v="4.7619047620000003"/>
    <n v="12.244999999999999"/>
    <n v="8.1"/>
  </r>
  <r>
    <x v="798"/>
    <x v="2"/>
    <x v="2"/>
    <x v="1"/>
    <x v="1"/>
    <x v="0"/>
    <x v="764"/>
    <n v="1"/>
    <n v="4.6390000000000002"/>
    <n v="97.418999999999997"/>
    <x v="20"/>
    <d v="1899-12-30T10:50:00"/>
    <x v="2"/>
    <n v="92.78"/>
    <n v="4.7619047620000003"/>
    <n v="4.6390000000000002"/>
    <n v="9.8000000000000007"/>
  </r>
  <r>
    <x v="799"/>
    <x v="1"/>
    <x v="1"/>
    <x v="0"/>
    <x v="1"/>
    <x v="2"/>
    <x v="765"/>
    <n v="5"/>
    <n v="21.672499999999999"/>
    <n v="455.1225"/>
    <x v="48"/>
    <d v="1899-12-30T18:38:00"/>
    <x v="0"/>
    <n v="433.45"/>
    <n v="4.7619047620000003"/>
    <n v="21.672499999999999"/>
    <n v="9.4"/>
  </r>
  <r>
    <x v="800"/>
    <x v="2"/>
    <x v="2"/>
    <x v="1"/>
    <x v="1"/>
    <x v="3"/>
    <x v="766"/>
    <n v="6"/>
    <n v="6.9029999999999996"/>
    <n v="144.96299999999999"/>
    <x v="52"/>
    <d v="1899-12-30T16:45:00"/>
    <x v="0"/>
    <n v="138.06"/>
    <n v="4.7619047620000003"/>
    <n v="6.9029999999999996"/>
    <n v="7.9"/>
  </r>
  <r>
    <x v="801"/>
    <x v="1"/>
    <x v="1"/>
    <x v="0"/>
    <x v="0"/>
    <x v="1"/>
    <x v="767"/>
    <n v="8"/>
    <n v="12.08"/>
    <n v="253.68"/>
    <x v="2"/>
    <d v="1899-12-30T19:30:00"/>
    <x v="0"/>
    <n v="241.6"/>
    <n v="4.7619047620000003"/>
    <n v="12.08"/>
    <n v="5.0999999999999996"/>
  </r>
  <r>
    <x v="802"/>
    <x v="1"/>
    <x v="1"/>
    <x v="0"/>
    <x v="1"/>
    <x v="5"/>
    <x v="768"/>
    <n v="7"/>
    <n v="23.586500000000001"/>
    <n v="495.31650000000002"/>
    <x v="28"/>
    <d v="1899-12-30T13:23:00"/>
    <x v="0"/>
    <n v="471.73"/>
    <n v="4.7619047620000003"/>
    <n v="23.586500000000001"/>
    <n v="6.9"/>
  </r>
  <r>
    <x v="803"/>
    <x v="0"/>
    <x v="0"/>
    <x v="0"/>
    <x v="0"/>
    <x v="5"/>
    <x v="769"/>
    <n v="9"/>
    <n v="22.032"/>
    <n v="462.67200000000003"/>
    <x v="31"/>
    <d v="1899-12-30T11:27:00"/>
    <x v="1"/>
    <n v="440.64"/>
    <n v="4.7619047620000003"/>
    <n v="22.032"/>
    <n v="8"/>
  </r>
  <r>
    <x v="804"/>
    <x v="2"/>
    <x v="2"/>
    <x v="0"/>
    <x v="0"/>
    <x v="1"/>
    <x v="770"/>
    <n v="9"/>
    <n v="34.015500000000003"/>
    <n v="714.32550000000003"/>
    <x v="55"/>
    <d v="1899-12-30T11:12:00"/>
    <x v="1"/>
    <n v="680.31"/>
    <n v="4.7619047620000003"/>
    <n v="34.015500000000003"/>
    <n v="8"/>
  </r>
  <r>
    <x v="805"/>
    <x v="0"/>
    <x v="0"/>
    <x v="1"/>
    <x v="0"/>
    <x v="2"/>
    <x v="771"/>
    <n v="4"/>
    <n v="15.494"/>
    <n v="325.37400000000002"/>
    <x v="85"/>
    <d v="1899-12-30T16:36:00"/>
    <x v="1"/>
    <n v="309.88"/>
    <n v="4.7619047620000003"/>
    <n v="15.494"/>
    <n v="4.2"/>
  </r>
  <r>
    <x v="806"/>
    <x v="0"/>
    <x v="0"/>
    <x v="1"/>
    <x v="0"/>
    <x v="3"/>
    <x v="772"/>
    <n v="2"/>
    <n v="9.3179999999999996"/>
    <n v="195.678"/>
    <x v="65"/>
    <d v="1899-12-30T18:41:00"/>
    <x v="2"/>
    <n v="186.36"/>
    <n v="4.7619047620000003"/>
    <n v="9.3179999999999996"/>
    <n v="8.5"/>
  </r>
  <r>
    <x v="807"/>
    <x v="0"/>
    <x v="0"/>
    <x v="1"/>
    <x v="0"/>
    <x v="1"/>
    <x v="773"/>
    <n v="4"/>
    <n v="10.045999999999999"/>
    <n v="210.96600000000001"/>
    <x v="66"/>
    <d v="1899-12-30T17:12:00"/>
    <x v="1"/>
    <n v="200.92"/>
    <n v="4.7619047620000003"/>
    <n v="10.045999999999999"/>
    <n v="9"/>
  </r>
  <r>
    <x v="808"/>
    <x v="2"/>
    <x v="2"/>
    <x v="1"/>
    <x v="0"/>
    <x v="0"/>
    <x v="774"/>
    <n v="1"/>
    <n v="0.88749999999999996"/>
    <n v="18.637499999999999"/>
    <x v="78"/>
    <d v="1899-12-30T10:38:00"/>
    <x v="1"/>
    <n v="17.75"/>
    <n v="4.7619047620000003"/>
    <n v="0.88749999999999996"/>
    <n v="8.6"/>
  </r>
  <r>
    <x v="809"/>
    <x v="1"/>
    <x v="1"/>
    <x v="1"/>
    <x v="0"/>
    <x v="5"/>
    <x v="775"/>
    <n v="10"/>
    <n v="31.09"/>
    <n v="652.89"/>
    <x v="82"/>
    <d v="1899-12-30T10:33:00"/>
    <x v="0"/>
    <n v="621.79999999999995"/>
    <n v="4.7619047620000003"/>
    <n v="31.09"/>
    <n v="6"/>
  </r>
  <r>
    <x v="810"/>
    <x v="2"/>
    <x v="2"/>
    <x v="1"/>
    <x v="1"/>
    <x v="0"/>
    <x v="776"/>
    <n v="8"/>
    <n v="4.3"/>
    <n v="90.3"/>
    <x v="20"/>
    <d v="1899-12-30T14:38:00"/>
    <x v="0"/>
    <n v="86"/>
    <n v="4.7619047620000003"/>
    <n v="4.3"/>
    <n v="6.2"/>
  </r>
  <r>
    <x v="811"/>
    <x v="0"/>
    <x v="0"/>
    <x v="1"/>
    <x v="0"/>
    <x v="1"/>
    <x v="777"/>
    <n v="10"/>
    <n v="20.13"/>
    <n v="422.73"/>
    <x v="7"/>
    <d v="1899-12-30T18:06:00"/>
    <x v="2"/>
    <n v="402.6"/>
    <n v="4.7619047620000003"/>
    <n v="20.13"/>
    <n v="5"/>
  </r>
  <r>
    <x v="812"/>
    <x v="1"/>
    <x v="1"/>
    <x v="0"/>
    <x v="0"/>
    <x v="3"/>
    <x v="778"/>
    <n v="5"/>
    <n v="16.2425"/>
    <n v="341.09249999999997"/>
    <x v="4"/>
    <d v="1899-12-30T12:52:00"/>
    <x v="2"/>
    <n v="324.85000000000002"/>
    <n v="4.7619047620000003"/>
    <n v="16.2425"/>
    <n v="6.5"/>
  </r>
  <r>
    <x v="813"/>
    <x v="0"/>
    <x v="0"/>
    <x v="1"/>
    <x v="1"/>
    <x v="1"/>
    <x v="779"/>
    <n v="1"/>
    <n v="4.7575000000000003"/>
    <n v="99.907499999999999"/>
    <x v="23"/>
    <d v="1899-12-30T14:00:00"/>
    <x v="1"/>
    <n v="95.15"/>
    <n v="4.7619047620000003"/>
    <n v="4.7575000000000003"/>
    <n v="6"/>
  </r>
  <r>
    <x v="814"/>
    <x v="0"/>
    <x v="0"/>
    <x v="0"/>
    <x v="0"/>
    <x v="1"/>
    <x v="780"/>
    <n v="8"/>
    <n v="19.448"/>
    <n v="408.40800000000002"/>
    <x v="46"/>
    <d v="1899-12-30T10:57:00"/>
    <x v="1"/>
    <n v="388.96"/>
    <n v="4.7619047620000003"/>
    <n v="19.448"/>
    <n v="5"/>
  </r>
  <r>
    <x v="815"/>
    <x v="2"/>
    <x v="2"/>
    <x v="1"/>
    <x v="0"/>
    <x v="4"/>
    <x v="781"/>
    <n v="8"/>
    <n v="21.283999999999999"/>
    <n v="446.964"/>
    <x v="86"/>
    <d v="1899-12-30T16:45:00"/>
    <x v="0"/>
    <n v="425.68"/>
    <n v="4.7619047620000003"/>
    <n v="21.283999999999999"/>
    <n v="5"/>
  </r>
  <r>
    <x v="816"/>
    <x v="1"/>
    <x v="1"/>
    <x v="1"/>
    <x v="0"/>
    <x v="5"/>
    <x v="782"/>
    <n v="7"/>
    <n v="15.904"/>
    <n v="333.98399999999998"/>
    <x v="54"/>
    <d v="1899-12-30T11:15:00"/>
    <x v="1"/>
    <n v="318.08"/>
    <n v="4.7619047620000003"/>
    <n v="15.904"/>
    <n v="9.1999999999999993"/>
  </r>
  <r>
    <x v="817"/>
    <x v="0"/>
    <x v="0"/>
    <x v="1"/>
    <x v="1"/>
    <x v="4"/>
    <x v="783"/>
    <n v="8"/>
    <n v="13.552"/>
    <n v="284.59199999999998"/>
    <x v="64"/>
    <d v="1899-12-30T20:29:00"/>
    <x v="0"/>
    <n v="271.04000000000002"/>
    <n v="4.7619047620000003"/>
    <n v="13.552"/>
    <n v="9.6"/>
  </r>
  <r>
    <x v="818"/>
    <x v="2"/>
    <x v="2"/>
    <x v="0"/>
    <x v="1"/>
    <x v="0"/>
    <x v="784"/>
    <n v="4"/>
    <n v="19.231999999999999"/>
    <n v="403.87200000000001"/>
    <x v="3"/>
    <d v="1899-12-30T20:03:00"/>
    <x v="2"/>
    <n v="384.64"/>
    <n v="4.7619047620000003"/>
    <n v="19.231999999999999"/>
    <n v="8.4"/>
  </r>
  <r>
    <x v="819"/>
    <x v="2"/>
    <x v="2"/>
    <x v="0"/>
    <x v="1"/>
    <x v="4"/>
    <x v="785"/>
    <n v="5"/>
    <n v="11.79"/>
    <n v="247.59"/>
    <x v="36"/>
    <d v="1899-12-30T14:35:00"/>
    <x v="2"/>
    <n v="235.8"/>
    <n v="4.7619047620000003"/>
    <n v="11.79"/>
    <n v="6"/>
  </r>
  <r>
    <x v="820"/>
    <x v="2"/>
    <x v="2"/>
    <x v="1"/>
    <x v="1"/>
    <x v="1"/>
    <x v="171"/>
    <n v="4"/>
    <n v="10.577999999999999"/>
    <n v="222.13800000000001"/>
    <x v="5"/>
    <d v="1899-12-30T16:32:00"/>
    <x v="0"/>
    <n v="211.56"/>
    <n v="4.7619047620000003"/>
    <n v="10.577999999999999"/>
    <n v="6.7"/>
  </r>
  <r>
    <x v="821"/>
    <x v="0"/>
    <x v="0"/>
    <x v="0"/>
    <x v="0"/>
    <x v="2"/>
    <x v="786"/>
    <n v="2"/>
    <n v="4.7679999999999998"/>
    <n v="100.128"/>
    <x v="7"/>
    <d v="1899-12-30T10:10:00"/>
    <x v="2"/>
    <n v="95.36"/>
    <n v="4.7619047620000003"/>
    <n v="4.7679999999999998"/>
    <n v="4.0999999999999996"/>
  </r>
  <r>
    <x v="822"/>
    <x v="1"/>
    <x v="1"/>
    <x v="0"/>
    <x v="1"/>
    <x v="3"/>
    <x v="787"/>
    <n v="1"/>
    <n v="0.50849999999999995"/>
    <n v="10.6785"/>
    <x v="13"/>
    <d v="1899-12-30T14:15:00"/>
    <x v="1"/>
    <n v="10.17"/>
    <n v="4.7619047620000003"/>
    <n v="0.50849999999999995"/>
    <n v="5.9"/>
  </r>
  <r>
    <x v="823"/>
    <x v="0"/>
    <x v="0"/>
    <x v="1"/>
    <x v="0"/>
    <x v="0"/>
    <x v="399"/>
    <n v="3"/>
    <n v="10.3065"/>
    <n v="216.4365"/>
    <x v="31"/>
    <d v="1899-12-30T10:05:00"/>
    <x v="1"/>
    <n v="206.13"/>
    <n v="4.7619047620000003"/>
    <n v="10.3065"/>
    <n v="8.6999999999999993"/>
  </r>
  <r>
    <x v="824"/>
    <x v="2"/>
    <x v="2"/>
    <x v="0"/>
    <x v="0"/>
    <x v="3"/>
    <x v="788"/>
    <n v="7"/>
    <n v="21.027999999999999"/>
    <n v="441.58800000000002"/>
    <x v="44"/>
    <d v="1899-12-30T11:36:00"/>
    <x v="2"/>
    <n v="420.56"/>
    <n v="4.7619047620000003"/>
    <n v="21.027999999999999"/>
    <n v="4.5"/>
  </r>
  <r>
    <x v="825"/>
    <x v="0"/>
    <x v="0"/>
    <x v="0"/>
    <x v="0"/>
    <x v="3"/>
    <x v="442"/>
    <n v="4"/>
    <n v="4.4020000000000001"/>
    <n v="92.441999999999993"/>
    <x v="71"/>
    <d v="1899-12-30T18:15:00"/>
    <x v="2"/>
    <n v="88.04"/>
    <n v="4.7619047620000003"/>
    <n v="4.4020000000000001"/>
    <n v="6.6"/>
  </r>
  <r>
    <x v="826"/>
    <x v="2"/>
    <x v="2"/>
    <x v="0"/>
    <x v="0"/>
    <x v="0"/>
    <x v="789"/>
    <n v="9"/>
    <n v="32.4495"/>
    <n v="681.43949999999995"/>
    <x v="26"/>
    <d v="1899-12-30T13:53:00"/>
    <x v="2"/>
    <n v="648.99"/>
    <n v="4.7619047620000003"/>
    <n v="32.4495"/>
    <n v="7.7"/>
  </r>
  <r>
    <x v="827"/>
    <x v="0"/>
    <x v="0"/>
    <x v="0"/>
    <x v="1"/>
    <x v="5"/>
    <x v="790"/>
    <n v="3"/>
    <n v="6.1920000000000002"/>
    <n v="130.03200000000001"/>
    <x v="58"/>
    <d v="1899-12-30T18:37:00"/>
    <x v="2"/>
    <n v="123.84"/>
    <n v="4.7619047620000003"/>
    <n v="6.1920000000000002"/>
    <n v="8.5"/>
  </r>
  <r>
    <x v="828"/>
    <x v="1"/>
    <x v="1"/>
    <x v="1"/>
    <x v="1"/>
    <x v="1"/>
    <x v="791"/>
    <n v="10"/>
    <n v="32.475000000000001"/>
    <n v="681.97500000000002"/>
    <x v="62"/>
    <d v="1899-12-30T18:27:00"/>
    <x v="1"/>
    <n v="649.5"/>
    <n v="4.7619047620000003"/>
    <n v="32.475000000000001"/>
    <n v="5.2"/>
  </r>
  <r>
    <x v="829"/>
    <x v="0"/>
    <x v="0"/>
    <x v="0"/>
    <x v="0"/>
    <x v="1"/>
    <x v="792"/>
    <n v="10"/>
    <n v="37.11"/>
    <n v="779.31"/>
    <x v="17"/>
    <d v="1899-12-30T14:42:00"/>
    <x v="2"/>
    <n v="742.2"/>
    <n v="4.7619047620000003"/>
    <n v="37.11"/>
    <n v="4.3"/>
  </r>
  <r>
    <x v="830"/>
    <x v="0"/>
    <x v="0"/>
    <x v="1"/>
    <x v="1"/>
    <x v="1"/>
    <x v="793"/>
    <n v="8"/>
    <n v="4.2240000000000002"/>
    <n v="88.703999999999994"/>
    <x v="46"/>
    <d v="1899-12-30T17:43:00"/>
    <x v="1"/>
    <n v="84.48"/>
    <n v="4.7619047620000003"/>
    <n v="4.2240000000000002"/>
    <n v="7.6"/>
  </r>
  <r>
    <x v="831"/>
    <x v="2"/>
    <x v="2"/>
    <x v="1"/>
    <x v="1"/>
    <x v="0"/>
    <x v="794"/>
    <n v="4"/>
    <n v="12.513999999999999"/>
    <n v="262.79399999999998"/>
    <x v="6"/>
    <d v="1899-12-30T18:37:00"/>
    <x v="1"/>
    <n v="250.28"/>
    <n v="4.7619047620000003"/>
    <n v="12.513999999999999"/>
    <n v="9.5"/>
  </r>
  <r>
    <x v="832"/>
    <x v="2"/>
    <x v="2"/>
    <x v="0"/>
    <x v="0"/>
    <x v="3"/>
    <x v="795"/>
    <n v="8"/>
    <n v="4.74"/>
    <n v="99.54"/>
    <x v="51"/>
    <d v="1899-12-30T16:34:00"/>
    <x v="1"/>
    <n v="94.8"/>
    <n v="4.7619047620000003"/>
    <n v="4.74"/>
    <n v="4.0999999999999996"/>
  </r>
  <r>
    <x v="833"/>
    <x v="0"/>
    <x v="0"/>
    <x v="0"/>
    <x v="1"/>
    <x v="0"/>
    <x v="796"/>
    <n v="1"/>
    <n v="4.5650000000000004"/>
    <n v="95.864999999999995"/>
    <x v="44"/>
    <d v="1899-12-30T14:42:00"/>
    <x v="0"/>
    <n v="91.3"/>
    <n v="4.7619047620000003"/>
    <n v="4.5650000000000004"/>
    <n v="9.1999999999999993"/>
  </r>
  <r>
    <x v="834"/>
    <x v="2"/>
    <x v="2"/>
    <x v="0"/>
    <x v="0"/>
    <x v="2"/>
    <x v="797"/>
    <n v="7"/>
    <n v="14.2555"/>
    <n v="299.3655"/>
    <x v="41"/>
    <d v="1899-12-30T11:01:00"/>
    <x v="0"/>
    <n v="285.11"/>
    <n v="4.7619047620000003"/>
    <n v="14.2555"/>
    <n v="5.4"/>
  </r>
  <r>
    <x v="835"/>
    <x v="0"/>
    <x v="0"/>
    <x v="1"/>
    <x v="1"/>
    <x v="5"/>
    <x v="798"/>
    <n v="1"/>
    <n v="2.6190000000000002"/>
    <n v="54.999000000000002"/>
    <x v="58"/>
    <d v="1899-12-30T19:44:00"/>
    <x v="1"/>
    <n v="52.38"/>
    <n v="4.7619047620000003"/>
    <n v="2.6190000000000002"/>
    <n v="5.8"/>
  </r>
  <r>
    <x v="836"/>
    <x v="0"/>
    <x v="0"/>
    <x v="0"/>
    <x v="1"/>
    <x v="5"/>
    <x v="799"/>
    <n v="5"/>
    <n v="9.6349999999999998"/>
    <n v="202.33500000000001"/>
    <x v="51"/>
    <d v="1899-12-30T13:34:00"/>
    <x v="0"/>
    <n v="192.7"/>
    <n v="4.7619047620000003"/>
    <n v="9.6349999999999998"/>
    <n v="5.6"/>
  </r>
  <r>
    <x v="837"/>
    <x v="2"/>
    <x v="2"/>
    <x v="1"/>
    <x v="1"/>
    <x v="3"/>
    <x v="800"/>
    <n v="6"/>
    <n v="13.388999999999999"/>
    <n v="281.16899999999998"/>
    <x v="56"/>
    <d v="1899-12-30T20:08:00"/>
    <x v="2"/>
    <n v="267.77999999999997"/>
    <n v="4.7619047620000003"/>
    <n v="13.388999999999999"/>
    <n v="5.0999999999999996"/>
  </r>
  <r>
    <x v="838"/>
    <x v="1"/>
    <x v="1"/>
    <x v="1"/>
    <x v="1"/>
    <x v="1"/>
    <x v="801"/>
    <n v="10"/>
    <n v="27.934999999999999"/>
    <n v="586.63499999999999"/>
    <x v="15"/>
    <d v="1899-12-30T15:01:00"/>
    <x v="1"/>
    <n v="558.70000000000005"/>
    <n v="4.7619047620000003"/>
    <n v="27.934999999999999"/>
    <n v="5.8"/>
  </r>
  <r>
    <x v="839"/>
    <x v="1"/>
    <x v="1"/>
    <x v="0"/>
    <x v="0"/>
    <x v="3"/>
    <x v="802"/>
    <n v="6"/>
    <n v="8.766"/>
    <n v="184.08600000000001"/>
    <x v="17"/>
    <d v="1899-12-30T11:40:00"/>
    <x v="0"/>
    <n v="175.32"/>
    <n v="4.7619047620000003"/>
    <n v="8.766"/>
    <n v="5"/>
  </r>
  <r>
    <x v="840"/>
    <x v="0"/>
    <x v="0"/>
    <x v="1"/>
    <x v="1"/>
    <x v="5"/>
    <x v="232"/>
    <n v="3"/>
    <n v="7.7910000000000004"/>
    <n v="163.61099999999999"/>
    <x v="42"/>
    <d v="1899-12-30T15:21:00"/>
    <x v="1"/>
    <n v="155.82"/>
    <n v="4.7619047620000003"/>
    <n v="7.7910000000000004"/>
    <n v="7.9"/>
  </r>
  <r>
    <x v="841"/>
    <x v="2"/>
    <x v="2"/>
    <x v="1"/>
    <x v="1"/>
    <x v="1"/>
    <x v="562"/>
    <n v="1"/>
    <n v="3.0150000000000001"/>
    <n v="63.314999999999998"/>
    <x v="38"/>
    <d v="1899-12-30T17:38:00"/>
    <x v="1"/>
    <n v="60.3"/>
    <n v="4.7619047620000003"/>
    <n v="3.0150000000000001"/>
    <n v="6"/>
  </r>
  <r>
    <x v="842"/>
    <x v="0"/>
    <x v="0"/>
    <x v="0"/>
    <x v="0"/>
    <x v="3"/>
    <x v="803"/>
    <n v="2"/>
    <n v="3.9470000000000001"/>
    <n v="82.887"/>
    <x v="22"/>
    <d v="1899-12-30T16:16:00"/>
    <x v="2"/>
    <n v="78.94"/>
    <n v="4.7619047620000003"/>
    <n v="3.9470000000000001"/>
    <n v="5"/>
  </r>
  <r>
    <x v="843"/>
    <x v="1"/>
    <x v="1"/>
    <x v="0"/>
    <x v="0"/>
    <x v="4"/>
    <x v="804"/>
    <n v="2"/>
    <n v="1.4870000000000001"/>
    <n v="31.227"/>
    <x v="77"/>
    <d v="1899-12-30T18:15:00"/>
    <x v="2"/>
    <n v="29.74"/>
    <n v="4.7619047620000003"/>
    <n v="1.4870000000000001"/>
    <n v="8.9"/>
  </r>
  <r>
    <x v="844"/>
    <x v="0"/>
    <x v="0"/>
    <x v="1"/>
    <x v="1"/>
    <x v="5"/>
    <x v="805"/>
    <n v="1"/>
    <n v="1.0660000000000001"/>
    <n v="22.385999999999999"/>
    <x v="53"/>
    <d v="1899-12-30T12:43:00"/>
    <x v="1"/>
    <n v="21.32"/>
    <n v="4.7619047620000003"/>
    <n v="1.0660000000000001"/>
    <n v="5.9"/>
  </r>
  <r>
    <x v="845"/>
    <x v="0"/>
    <x v="0"/>
    <x v="0"/>
    <x v="1"/>
    <x v="1"/>
    <x v="806"/>
    <n v="3"/>
    <n v="14.067"/>
    <n v="295.40699999999998"/>
    <x v="74"/>
    <d v="1899-12-30T11:32:00"/>
    <x v="2"/>
    <n v="281.33999999999997"/>
    <n v="4.7619047620000003"/>
    <n v="14.067"/>
    <n v="5.9"/>
  </r>
  <r>
    <x v="846"/>
    <x v="0"/>
    <x v="0"/>
    <x v="0"/>
    <x v="1"/>
    <x v="1"/>
    <x v="807"/>
    <n v="1"/>
    <n v="3.6629999999999998"/>
    <n v="76.923000000000002"/>
    <x v="3"/>
    <d v="1899-12-30T18:08:00"/>
    <x v="0"/>
    <n v="73.260000000000005"/>
    <n v="4.7619047620000003"/>
    <n v="3.6629999999999998"/>
    <n v="9.6999999999999993"/>
  </r>
  <r>
    <x v="847"/>
    <x v="1"/>
    <x v="1"/>
    <x v="1"/>
    <x v="0"/>
    <x v="3"/>
    <x v="808"/>
    <n v="1"/>
    <n v="1.119"/>
    <n v="23.498999999999999"/>
    <x v="74"/>
    <d v="1899-12-30T17:08:00"/>
    <x v="2"/>
    <n v="22.38"/>
    <n v="4.7619047620000003"/>
    <n v="1.119"/>
    <n v="8.6"/>
  </r>
  <r>
    <x v="848"/>
    <x v="1"/>
    <x v="1"/>
    <x v="0"/>
    <x v="0"/>
    <x v="4"/>
    <x v="665"/>
    <n v="9"/>
    <n v="32.795999999999999"/>
    <n v="688.71600000000001"/>
    <x v="66"/>
    <d v="1899-12-30T19:38:00"/>
    <x v="1"/>
    <n v="655.92"/>
    <n v="4.7619047620000003"/>
    <n v="32.795999999999999"/>
    <n v="4"/>
  </r>
  <r>
    <x v="849"/>
    <x v="0"/>
    <x v="0"/>
    <x v="1"/>
    <x v="0"/>
    <x v="5"/>
    <x v="809"/>
    <n v="6"/>
    <n v="29.73"/>
    <n v="624.33000000000004"/>
    <x v="64"/>
    <d v="1899-12-30T13:11:00"/>
    <x v="1"/>
    <n v="594.6"/>
    <n v="4.7619047620000003"/>
    <n v="29.73"/>
    <n v="4.2"/>
  </r>
  <r>
    <x v="850"/>
    <x v="0"/>
    <x v="0"/>
    <x v="1"/>
    <x v="1"/>
    <x v="5"/>
    <x v="810"/>
    <n v="1"/>
    <n v="3.7050000000000001"/>
    <n v="77.805000000000007"/>
    <x v="25"/>
    <d v="1899-12-30T11:05:00"/>
    <x v="1"/>
    <n v="74.099999999999994"/>
    <n v="4.7619047620000003"/>
    <n v="3.7050000000000001"/>
    <n v="9.1999999999999993"/>
  </r>
  <r>
    <x v="851"/>
    <x v="0"/>
    <x v="0"/>
    <x v="1"/>
    <x v="0"/>
    <x v="5"/>
    <x v="811"/>
    <n v="2"/>
    <n v="9.8480000000000008"/>
    <n v="206.80799999999999"/>
    <x v="88"/>
    <d v="1899-12-30T10:12:00"/>
    <x v="0"/>
    <n v="196.96"/>
    <n v="4.7619047620000003"/>
    <n v="9.8480000000000008"/>
    <n v="9.1999999999999993"/>
  </r>
  <r>
    <x v="852"/>
    <x v="1"/>
    <x v="1"/>
    <x v="1"/>
    <x v="1"/>
    <x v="0"/>
    <x v="812"/>
    <n v="7"/>
    <n v="18.616499999999998"/>
    <n v="390.94650000000001"/>
    <x v="78"/>
    <d v="1899-12-30T15:42:00"/>
    <x v="0"/>
    <n v="372.33"/>
    <n v="4.7619047620000003"/>
    <n v="18.616499999999998"/>
    <n v="5"/>
  </r>
  <r>
    <x v="853"/>
    <x v="2"/>
    <x v="2"/>
    <x v="1"/>
    <x v="0"/>
    <x v="1"/>
    <x v="813"/>
    <n v="10"/>
    <n v="26.395"/>
    <n v="554.29499999999996"/>
    <x v="6"/>
    <d v="1899-12-30T11:58:00"/>
    <x v="0"/>
    <n v="527.9"/>
    <n v="4.7619047620000003"/>
    <n v="26.395"/>
    <n v="10"/>
  </r>
  <r>
    <x v="854"/>
    <x v="0"/>
    <x v="0"/>
    <x v="0"/>
    <x v="0"/>
    <x v="0"/>
    <x v="814"/>
    <n v="5"/>
    <n v="23.987500000000001"/>
    <n v="503.73750000000001"/>
    <x v="54"/>
    <d v="1899-12-30T14:21:00"/>
    <x v="0"/>
    <n v="479.75"/>
    <n v="4.7619047620000003"/>
    <n v="23.987500000000001"/>
    <n v="8.8000000000000007"/>
  </r>
  <r>
    <x v="855"/>
    <x v="2"/>
    <x v="2"/>
    <x v="1"/>
    <x v="0"/>
    <x v="5"/>
    <x v="815"/>
    <n v="9"/>
    <n v="16.429500000000001"/>
    <n v="345.01949999999999"/>
    <x v="69"/>
    <d v="1899-12-30T10:52:00"/>
    <x v="1"/>
    <n v="328.59"/>
    <n v="4.7619047620000003"/>
    <n v="16.429500000000001"/>
    <n v="4.2"/>
  </r>
  <r>
    <x v="856"/>
    <x v="2"/>
    <x v="2"/>
    <x v="1"/>
    <x v="1"/>
    <x v="4"/>
    <x v="268"/>
    <n v="8"/>
    <n v="8.4480000000000004"/>
    <n v="177.40799999999999"/>
    <x v="17"/>
    <d v="1899-12-30T19:31:00"/>
    <x v="1"/>
    <n v="168.96"/>
    <n v="4.7619047620000003"/>
    <n v="8.4480000000000004"/>
    <n v="6.3"/>
  </r>
  <r>
    <x v="857"/>
    <x v="0"/>
    <x v="0"/>
    <x v="0"/>
    <x v="0"/>
    <x v="2"/>
    <x v="816"/>
    <n v="4"/>
    <n v="5.6619999999999999"/>
    <n v="118.902"/>
    <x v="37"/>
    <d v="1899-12-30T18:35:00"/>
    <x v="1"/>
    <n v="113.24"/>
    <n v="4.7619047620000003"/>
    <n v="5.6619999999999999"/>
    <n v="8.1999999999999993"/>
  </r>
  <r>
    <x v="858"/>
    <x v="2"/>
    <x v="2"/>
    <x v="1"/>
    <x v="1"/>
    <x v="0"/>
    <x v="817"/>
    <n v="6"/>
    <n v="17.277000000000001"/>
    <n v="362.81700000000001"/>
    <x v="42"/>
    <d v="1899-12-30T13:51:00"/>
    <x v="1"/>
    <n v="345.54"/>
    <n v="4.7619047620000003"/>
    <n v="17.277000000000001"/>
    <n v="5.0999999999999996"/>
  </r>
  <r>
    <x v="859"/>
    <x v="0"/>
    <x v="0"/>
    <x v="0"/>
    <x v="0"/>
    <x v="4"/>
    <x v="818"/>
    <n v="9"/>
    <n v="21.433499999999999"/>
    <n v="450.1035"/>
    <x v="54"/>
    <d v="1899-12-30T12:35:00"/>
    <x v="1"/>
    <n v="428.67"/>
    <n v="4.7619047620000003"/>
    <n v="21.433499999999999"/>
    <n v="5"/>
  </r>
  <r>
    <x v="860"/>
    <x v="1"/>
    <x v="1"/>
    <x v="0"/>
    <x v="0"/>
    <x v="2"/>
    <x v="819"/>
    <n v="1"/>
    <n v="4.3135000000000003"/>
    <n v="90.583500000000001"/>
    <x v="9"/>
    <d v="1899-12-30T13:24:00"/>
    <x v="0"/>
    <n v="86.27"/>
    <n v="4.7619047620000003"/>
    <n v="4.3135000000000003"/>
    <n v="7"/>
  </r>
  <r>
    <x v="861"/>
    <x v="0"/>
    <x v="0"/>
    <x v="0"/>
    <x v="1"/>
    <x v="3"/>
    <x v="820"/>
    <n v="2"/>
    <n v="1.276"/>
    <n v="26.795999999999999"/>
    <x v="66"/>
    <d v="1899-12-30T18:06:00"/>
    <x v="0"/>
    <n v="25.52"/>
    <n v="4.7619047620000003"/>
    <n v="1.276"/>
    <n v="7.8"/>
  </r>
  <r>
    <x v="862"/>
    <x v="2"/>
    <x v="2"/>
    <x v="1"/>
    <x v="0"/>
    <x v="2"/>
    <x v="821"/>
    <n v="9"/>
    <n v="5.0759999999999996"/>
    <n v="106.596"/>
    <x v="85"/>
    <d v="1899-12-30T11:55:00"/>
    <x v="2"/>
    <n v="101.52"/>
    <n v="4.7619047620000003"/>
    <n v="5.0759999999999996"/>
    <n v="4.3"/>
  </r>
  <r>
    <x v="863"/>
    <x v="2"/>
    <x v="2"/>
    <x v="1"/>
    <x v="0"/>
    <x v="2"/>
    <x v="822"/>
    <n v="7"/>
    <n v="17.874500000000001"/>
    <n v="375.36450000000002"/>
    <x v="52"/>
    <d v="1899-12-30T11:42:00"/>
    <x v="1"/>
    <n v="357.49"/>
    <n v="4.7619047620000003"/>
    <n v="17.874500000000001"/>
    <n v="7"/>
  </r>
  <r>
    <x v="864"/>
    <x v="0"/>
    <x v="0"/>
    <x v="0"/>
    <x v="0"/>
    <x v="1"/>
    <x v="823"/>
    <n v="3"/>
    <n v="11.938499999999999"/>
    <n v="250.70849999999999"/>
    <x v="66"/>
    <d v="1899-12-30T14:30:00"/>
    <x v="1"/>
    <n v="238.77"/>
    <n v="4.7619047620000003"/>
    <n v="11.938499999999999"/>
    <n v="6.6"/>
  </r>
  <r>
    <x v="865"/>
    <x v="1"/>
    <x v="1"/>
    <x v="0"/>
    <x v="1"/>
    <x v="0"/>
    <x v="824"/>
    <n v="3"/>
    <n v="5.0715000000000003"/>
    <n v="106.50149999999999"/>
    <x v="53"/>
    <d v="1899-12-30T15:11:00"/>
    <x v="0"/>
    <n v="101.43"/>
    <n v="4.7619047620000003"/>
    <n v="5.0715000000000003"/>
    <n v="7.3"/>
  </r>
  <r>
    <x v="866"/>
    <x v="2"/>
    <x v="2"/>
    <x v="0"/>
    <x v="1"/>
    <x v="3"/>
    <x v="825"/>
    <n v="8"/>
    <n v="36.212000000000003"/>
    <n v="760.452"/>
    <x v="20"/>
    <d v="1899-12-30T14:48:00"/>
    <x v="2"/>
    <n v="724.24"/>
    <n v="4.7619047620000003"/>
    <n v="36.212000000000003"/>
    <n v="6.5"/>
  </r>
  <r>
    <x v="867"/>
    <x v="1"/>
    <x v="1"/>
    <x v="0"/>
    <x v="0"/>
    <x v="0"/>
    <x v="826"/>
    <n v="2"/>
    <n v="6.282"/>
    <n v="131.922"/>
    <x v="29"/>
    <d v="1899-12-30T12:36:00"/>
    <x v="0"/>
    <n v="125.64"/>
    <n v="4.7619047620000003"/>
    <n v="6.282"/>
    <n v="4.9000000000000004"/>
  </r>
  <r>
    <x v="868"/>
    <x v="1"/>
    <x v="1"/>
    <x v="0"/>
    <x v="1"/>
    <x v="4"/>
    <x v="827"/>
    <n v="3"/>
    <n v="3.6465000000000001"/>
    <n v="76.576499999999996"/>
    <x v="66"/>
    <d v="1899-12-30T19:09:00"/>
    <x v="2"/>
    <n v="72.930000000000007"/>
    <n v="4.7619047620000003"/>
    <n v="3.6465000000000001"/>
    <n v="4.3"/>
  </r>
  <r>
    <x v="869"/>
    <x v="0"/>
    <x v="0"/>
    <x v="1"/>
    <x v="1"/>
    <x v="3"/>
    <x v="828"/>
    <n v="4"/>
    <n v="12.917999999999999"/>
    <n v="271.27800000000002"/>
    <x v="47"/>
    <d v="1899-12-30T13:35:00"/>
    <x v="0"/>
    <n v="258.36"/>
    <n v="4.7619047620000003"/>
    <n v="12.917999999999999"/>
    <n v="9.3000000000000007"/>
  </r>
  <r>
    <x v="870"/>
    <x v="0"/>
    <x v="0"/>
    <x v="0"/>
    <x v="1"/>
    <x v="4"/>
    <x v="829"/>
    <n v="7"/>
    <n v="8.6869999999999994"/>
    <n v="182.42699999999999"/>
    <x v="69"/>
    <d v="1899-12-30T10:33:00"/>
    <x v="2"/>
    <n v="173.74"/>
    <n v="4.7619047620000003"/>
    <n v="8.6869999999999994"/>
    <n v="7.1"/>
  </r>
  <r>
    <x v="871"/>
    <x v="1"/>
    <x v="1"/>
    <x v="1"/>
    <x v="1"/>
    <x v="5"/>
    <x v="830"/>
    <n v="1"/>
    <n v="2.8250000000000002"/>
    <n v="59.325000000000003"/>
    <x v="45"/>
    <d v="1899-12-30T15:45:00"/>
    <x v="0"/>
    <n v="56.5"/>
    <n v="4.7619047620000003"/>
    <n v="2.8250000000000002"/>
    <n v="9.6"/>
  </r>
  <r>
    <x v="872"/>
    <x v="2"/>
    <x v="2"/>
    <x v="0"/>
    <x v="0"/>
    <x v="1"/>
    <x v="831"/>
    <n v="10"/>
    <n v="10.715"/>
    <n v="225.01499999999999"/>
    <x v="26"/>
    <d v="1899-12-30T11:51:00"/>
    <x v="1"/>
    <n v="214.3"/>
    <n v="4.7619047620000003"/>
    <n v="10.715"/>
    <n v="6.2"/>
  </r>
  <r>
    <x v="873"/>
    <x v="0"/>
    <x v="0"/>
    <x v="0"/>
    <x v="1"/>
    <x v="3"/>
    <x v="832"/>
    <n v="6"/>
    <n v="26.718"/>
    <n v="561.07799999999997"/>
    <x v="68"/>
    <d v="1899-12-30T17:26:00"/>
    <x v="1"/>
    <n v="534.36"/>
    <n v="4.7619047620000003"/>
    <n v="26.718"/>
    <n v="9.9"/>
  </r>
  <r>
    <x v="874"/>
    <x v="0"/>
    <x v="0"/>
    <x v="0"/>
    <x v="1"/>
    <x v="2"/>
    <x v="833"/>
    <n v="4"/>
    <n v="4.6580000000000004"/>
    <n v="97.817999999999998"/>
    <x v="35"/>
    <d v="1899-12-30T11:52:00"/>
    <x v="2"/>
    <n v="93.16"/>
    <n v="4.7619047620000003"/>
    <n v="4.6580000000000004"/>
    <n v="5.9"/>
  </r>
  <r>
    <x v="875"/>
    <x v="1"/>
    <x v="1"/>
    <x v="1"/>
    <x v="1"/>
    <x v="2"/>
    <x v="834"/>
    <n v="8"/>
    <n v="26.103999999999999"/>
    <n v="548.18399999999997"/>
    <x v="20"/>
    <d v="1899-12-30T14:04:00"/>
    <x v="0"/>
    <n v="522.08000000000004"/>
    <n v="4.7619047620000003"/>
    <n v="26.103999999999999"/>
    <n v="6.3"/>
  </r>
  <r>
    <x v="876"/>
    <x v="1"/>
    <x v="1"/>
    <x v="0"/>
    <x v="1"/>
    <x v="5"/>
    <x v="835"/>
    <n v="1"/>
    <n v="2.6175000000000002"/>
    <n v="54.967500000000001"/>
    <x v="12"/>
    <d v="1899-12-30T17:49:00"/>
    <x v="1"/>
    <n v="52.35"/>
    <n v="4.7619047620000003"/>
    <n v="2.6175000000000002"/>
    <n v="4"/>
  </r>
  <r>
    <x v="877"/>
    <x v="2"/>
    <x v="2"/>
    <x v="0"/>
    <x v="1"/>
    <x v="1"/>
    <x v="395"/>
    <n v="1"/>
    <n v="1.9875"/>
    <n v="41.737499999999997"/>
    <x v="6"/>
    <d v="1899-12-30T20:19:00"/>
    <x v="1"/>
    <n v="39.75"/>
    <n v="4.7619047620000003"/>
    <n v="1.9875"/>
    <n v="6.1"/>
  </r>
  <r>
    <x v="878"/>
    <x v="0"/>
    <x v="0"/>
    <x v="1"/>
    <x v="0"/>
    <x v="1"/>
    <x v="836"/>
    <n v="8"/>
    <n v="36.008000000000003"/>
    <n v="756.16800000000001"/>
    <x v="76"/>
    <d v="1899-12-30T16:08:00"/>
    <x v="2"/>
    <n v="720.16"/>
    <n v="4.7619047620000003"/>
    <n v="36.008000000000003"/>
    <n v="4.5"/>
  </r>
  <r>
    <x v="879"/>
    <x v="2"/>
    <x v="2"/>
    <x v="0"/>
    <x v="0"/>
    <x v="1"/>
    <x v="837"/>
    <n v="8"/>
    <n v="4.84"/>
    <n v="101.64"/>
    <x v="64"/>
    <d v="1899-12-30T10:17:00"/>
    <x v="0"/>
    <n v="96.8"/>
    <n v="4.7619047620000003"/>
    <n v="4.84"/>
    <n v="8.6"/>
  </r>
  <r>
    <x v="880"/>
    <x v="2"/>
    <x v="2"/>
    <x v="0"/>
    <x v="0"/>
    <x v="4"/>
    <x v="838"/>
    <n v="10"/>
    <n v="16.605"/>
    <n v="348.70499999999998"/>
    <x v="66"/>
    <d v="1899-12-30T14:25:00"/>
    <x v="0"/>
    <n v="332.1"/>
    <n v="4.7619047620000003"/>
    <n v="16.605"/>
    <n v="6"/>
  </r>
  <r>
    <x v="881"/>
    <x v="1"/>
    <x v="1"/>
    <x v="0"/>
    <x v="0"/>
    <x v="5"/>
    <x v="839"/>
    <n v="8"/>
    <n v="4.0720000000000001"/>
    <n v="85.512"/>
    <x v="73"/>
    <d v="1899-12-30T12:51:00"/>
    <x v="2"/>
    <n v="81.44"/>
    <n v="4.7619047620000003"/>
    <n v="4.0720000000000001"/>
    <n v="9.5"/>
  </r>
  <r>
    <x v="882"/>
    <x v="2"/>
    <x v="2"/>
    <x v="0"/>
    <x v="1"/>
    <x v="3"/>
    <x v="840"/>
    <n v="10"/>
    <n v="15.994999999999999"/>
    <n v="335.89499999999998"/>
    <x v="9"/>
    <d v="1899-12-30T15:18:00"/>
    <x v="2"/>
    <n v="319.89999999999998"/>
    <n v="4.7619047620000003"/>
    <n v="15.994999999999999"/>
    <n v="9.9"/>
  </r>
  <r>
    <x v="883"/>
    <x v="0"/>
    <x v="0"/>
    <x v="0"/>
    <x v="0"/>
    <x v="2"/>
    <x v="136"/>
    <n v="6"/>
    <n v="10.326000000000001"/>
    <n v="216.846"/>
    <x v="73"/>
    <d v="1899-12-30T12:45:00"/>
    <x v="0"/>
    <n v="206.52"/>
    <n v="4.7619047620000003"/>
    <n v="10.326000000000001"/>
    <n v="7.5"/>
  </r>
  <r>
    <x v="884"/>
    <x v="0"/>
    <x v="0"/>
    <x v="0"/>
    <x v="0"/>
    <x v="4"/>
    <x v="841"/>
    <n v="2"/>
    <n v="8.3339999999999996"/>
    <n v="175.01400000000001"/>
    <x v="35"/>
    <d v="1899-12-30T13:37:00"/>
    <x v="1"/>
    <n v="166.68"/>
    <n v="4.7619047620000003"/>
    <n v="8.3339999999999996"/>
    <n v="7.6"/>
  </r>
  <r>
    <x v="885"/>
    <x v="0"/>
    <x v="0"/>
    <x v="1"/>
    <x v="1"/>
    <x v="3"/>
    <x v="576"/>
    <n v="7"/>
    <n v="15.952999999999999"/>
    <n v="335.01299999999998"/>
    <x v="50"/>
    <d v="1899-12-30T10:03:00"/>
    <x v="1"/>
    <n v="319.06"/>
    <n v="4.7619047620000003"/>
    <n v="15.952999999999999"/>
    <n v="5"/>
  </r>
  <r>
    <x v="886"/>
    <x v="0"/>
    <x v="0"/>
    <x v="0"/>
    <x v="1"/>
    <x v="4"/>
    <x v="842"/>
    <n v="1"/>
    <n v="4.3949999999999996"/>
    <n v="92.295000000000002"/>
    <x v="63"/>
    <d v="1899-12-30T19:42:00"/>
    <x v="0"/>
    <n v="87.9"/>
    <n v="4.7619047620000003"/>
    <n v="4.3949999999999996"/>
    <n v="6.7"/>
  </r>
  <r>
    <x v="887"/>
    <x v="0"/>
    <x v="0"/>
    <x v="0"/>
    <x v="0"/>
    <x v="1"/>
    <x v="655"/>
    <n v="10"/>
    <n v="36.734999999999999"/>
    <n v="771.43499999999995"/>
    <x v="28"/>
    <d v="1899-12-30T13:14:00"/>
    <x v="0"/>
    <n v="734.7"/>
    <n v="4.7619047620000003"/>
    <n v="36.734999999999999"/>
    <n v="9.5"/>
  </r>
  <r>
    <x v="888"/>
    <x v="1"/>
    <x v="1"/>
    <x v="1"/>
    <x v="0"/>
    <x v="5"/>
    <x v="843"/>
    <n v="8"/>
    <n v="4.8760000000000003"/>
    <n v="102.396"/>
    <x v="45"/>
    <d v="1899-12-30T12:47:00"/>
    <x v="0"/>
    <n v="97.52"/>
    <n v="4.7619047620000003"/>
    <n v="4.8760000000000003"/>
    <n v="6.8"/>
  </r>
  <r>
    <x v="889"/>
    <x v="0"/>
    <x v="0"/>
    <x v="0"/>
    <x v="1"/>
    <x v="3"/>
    <x v="844"/>
    <n v="10"/>
    <n v="38.46"/>
    <n v="807.66"/>
    <x v="85"/>
    <d v="1899-12-30T19:53:00"/>
    <x v="0"/>
    <n v="769.2"/>
    <n v="4.7619047620000003"/>
    <n v="38.46"/>
    <n v="5.6"/>
  </r>
  <r>
    <x v="890"/>
    <x v="1"/>
    <x v="1"/>
    <x v="1"/>
    <x v="0"/>
    <x v="0"/>
    <x v="845"/>
    <n v="5"/>
    <n v="20.914999999999999"/>
    <n v="439.21499999999997"/>
    <x v="81"/>
    <d v="1899-12-30T10:26:00"/>
    <x v="1"/>
    <n v="418.3"/>
    <n v="4.7619047620000003"/>
    <n v="20.914999999999999"/>
    <n v="7.2"/>
  </r>
  <r>
    <x v="891"/>
    <x v="2"/>
    <x v="2"/>
    <x v="1"/>
    <x v="0"/>
    <x v="1"/>
    <x v="846"/>
    <n v="8"/>
    <n v="23.164000000000001"/>
    <n v="486.44400000000002"/>
    <x v="13"/>
    <d v="1899-12-30T15:06:00"/>
    <x v="1"/>
    <n v="463.28"/>
    <n v="4.7619047620000003"/>
    <n v="23.164000000000001"/>
    <n v="8.1"/>
  </r>
  <r>
    <x v="892"/>
    <x v="1"/>
    <x v="1"/>
    <x v="0"/>
    <x v="0"/>
    <x v="5"/>
    <x v="847"/>
    <n v="5"/>
    <n v="23.122499999999999"/>
    <n v="485.57249999999999"/>
    <x v="22"/>
    <d v="1899-12-30T16:35:00"/>
    <x v="2"/>
    <n v="462.45"/>
    <n v="4.7619047620000003"/>
    <n v="23.122499999999999"/>
    <n v="8.6"/>
  </r>
  <r>
    <x v="893"/>
    <x v="2"/>
    <x v="2"/>
    <x v="1"/>
    <x v="1"/>
    <x v="1"/>
    <x v="848"/>
    <n v="5"/>
    <n v="7.0949999999999998"/>
    <n v="148.995"/>
    <x v="43"/>
    <d v="1899-12-30T20:57:00"/>
    <x v="1"/>
    <n v="141.9"/>
    <n v="4.7619047620000003"/>
    <n v="7.0949999999999998"/>
    <n v="9.4"/>
  </r>
  <r>
    <x v="894"/>
    <x v="2"/>
    <x v="2"/>
    <x v="0"/>
    <x v="1"/>
    <x v="1"/>
    <x v="849"/>
    <n v="6"/>
    <n v="15.135"/>
    <n v="317.83499999999998"/>
    <x v="10"/>
    <d v="1899-12-30T15:16:00"/>
    <x v="2"/>
    <n v="302.7"/>
    <n v="4.7619047620000003"/>
    <n v="15.135"/>
    <n v="8.9"/>
  </r>
  <r>
    <x v="895"/>
    <x v="2"/>
    <x v="2"/>
    <x v="1"/>
    <x v="1"/>
    <x v="0"/>
    <x v="850"/>
    <n v="8"/>
    <n v="39.664000000000001"/>
    <n v="832.94399999999996"/>
    <x v="26"/>
    <d v="1899-12-30T17:47:00"/>
    <x v="2"/>
    <n v="793.28"/>
    <n v="4.7619047620000003"/>
    <n v="39.664000000000001"/>
    <n v="4.2"/>
  </r>
  <r>
    <x v="896"/>
    <x v="1"/>
    <x v="1"/>
    <x v="1"/>
    <x v="1"/>
    <x v="5"/>
    <x v="851"/>
    <n v="7"/>
    <n v="21.259"/>
    <n v="446.43900000000002"/>
    <x v="68"/>
    <d v="1899-12-30T16:23:00"/>
    <x v="0"/>
    <n v="425.18"/>
    <n v="4.7619047620000003"/>
    <n v="21.259"/>
    <n v="5"/>
  </r>
  <r>
    <x v="897"/>
    <x v="1"/>
    <x v="1"/>
    <x v="0"/>
    <x v="0"/>
    <x v="4"/>
    <x v="852"/>
    <n v="6"/>
    <n v="14.180999999999999"/>
    <n v="297.80099999999999"/>
    <x v="63"/>
    <d v="1899-12-30T10:17:00"/>
    <x v="1"/>
    <n v="283.62"/>
    <n v="4.7619047620000003"/>
    <n v="14.180999999999999"/>
    <n v="8.8000000000000007"/>
  </r>
  <r>
    <x v="898"/>
    <x v="1"/>
    <x v="1"/>
    <x v="0"/>
    <x v="1"/>
    <x v="0"/>
    <x v="853"/>
    <n v="7"/>
    <n v="29.96"/>
    <n v="629.16"/>
    <x v="22"/>
    <d v="1899-12-30T13:50:00"/>
    <x v="1"/>
    <n v="599.20000000000005"/>
    <n v="4.7619047620000003"/>
    <n v="29.96"/>
    <n v="5.3"/>
  </r>
  <r>
    <x v="899"/>
    <x v="0"/>
    <x v="0"/>
    <x v="0"/>
    <x v="1"/>
    <x v="4"/>
    <x v="854"/>
    <n v="9"/>
    <n v="15.768000000000001"/>
    <n v="331.12799999999999"/>
    <x v="57"/>
    <d v="1899-12-30T19:17:00"/>
    <x v="0"/>
    <n v="315.36"/>
    <n v="4.7619047620000003"/>
    <n v="15.768000000000001"/>
    <n v="4.5999999999999996"/>
  </r>
  <r>
    <x v="900"/>
    <x v="1"/>
    <x v="1"/>
    <x v="0"/>
    <x v="0"/>
    <x v="1"/>
    <x v="855"/>
    <n v="9"/>
    <n v="20.178000000000001"/>
    <n v="423.738"/>
    <x v="78"/>
    <d v="1899-12-30T14:00:00"/>
    <x v="2"/>
    <n v="403.56"/>
    <n v="4.7619047620000003"/>
    <n v="20.178000000000001"/>
    <n v="7.5"/>
  </r>
  <r>
    <x v="901"/>
    <x v="2"/>
    <x v="2"/>
    <x v="1"/>
    <x v="1"/>
    <x v="2"/>
    <x v="856"/>
    <n v="4"/>
    <n v="9.1940000000000008"/>
    <n v="193.07400000000001"/>
    <x v="57"/>
    <d v="1899-12-30T12:02:00"/>
    <x v="0"/>
    <n v="183.88"/>
    <n v="4.7619047620000003"/>
    <n v="9.1940000000000008"/>
    <n v="5.0999999999999996"/>
  </r>
  <r>
    <x v="902"/>
    <x v="0"/>
    <x v="0"/>
    <x v="0"/>
    <x v="0"/>
    <x v="0"/>
    <x v="857"/>
    <n v="5"/>
    <n v="6.9325000000000001"/>
    <n v="145.58250000000001"/>
    <x v="58"/>
    <d v="1899-12-30T20:21:00"/>
    <x v="2"/>
    <n v="138.65"/>
    <n v="4.7619047620000003"/>
    <n v="6.9325000000000001"/>
    <n v="4.2"/>
  </r>
  <r>
    <x v="903"/>
    <x v="0"/>
    <x v="0"/>
    <x v="1"/>
    <x v="1"/>
    <x v="4"/>
    <x v="858"/>
    <n v="7"/>
    <n v="4.0354999999999999"/>
    <n v="84.745500000000007"/>
    <x v="26"/>
    <d v="1899-12-30T17:35:00"/>
    <x v="1"/>
    <n v="80.709999999999994"/>
    <n v="4.7619047620000003"/>
    <n v="4.0354999999999999"/>
    <n v="8.1"/>
  </r>
  <r>
    <x v="904"/>
    <x v="1"/>
    <x v="1"/>
    <x v="1"/>
    <x v="0"/>
    <x v="0"/>
    <x v="859"/>
    <n v="2"/>
    <n v="5.8319999999999999"/>
    <n v="122.47199999999999"/>
    <x v="44"/>
    <d v="1899-12-30T12:42:00"/>
    <x v="0"/>
    <n v="116.64"/>
    <n v="4.7619047620000003"/>
    <n v="5.8319999999999999"/>
    <n v="6"/>
  </r>
  <r>
    <x v="905"/>
    <x v="1"/>
    <x v="1"/>
    <x v="0"/>
    <x v="0"/>
    <x v="2"/>
    <x v="292"/>
    <n v="4"/>
    <n v="15.676"/>
    <n v="329.19600000000003"/>
    <x v="62"/>
    <d v="1899-12-30T17:56:00"/>
    <x v="1"/>
    <n v="313.52"/>
    <n v="4.7619047620000003"/>
    <n v="15.676"/>
    <n v="7.9"/>
  </r>
  <r>
    <x v="906"/>
    <x v="1"/>
    <x v="1"/>
    <x v="1"/>
    <x v="1"/>
    <x v="0"/>
    <x v="860"/>
    <n v="10"/>
    <n v="42.305"/>
    <n v="888.40499999999997"/>
    <x v="57"/>
    <d v="1899-12-30T18:58:00"/>
    <x v="2"/>
    <n v="846.1"/>
    <n v="4.7619047620000003"/>
    <n v="42.305"/>
    <n v="8.8000000000000007"/>
  </r>
  <r>
    <x v="907"/>
    <x v="2"/>
    <x v="2"/>
    <x v="1"/>
    <x v="0"/>
    <x v="0"/>
    <x v="861"/>
    <n v="5"/>
    <n v="20.72"/>
    <n v="435.12"/>
    <x v="62"/>
    <d v="1899-12-30T14:08:00"/>
    <x v="2"/>
    <n v="414.4"/>
    <n v="4.7619047620000003"/>
    <n v="20.72"/>
    <n v="6.6"/>
  </r>
  <r>
    <x v="908"/>
    <x v="0"/>
    <x v="0"/>
    <x v="0"/>
    <x v="0"/>
    <x v="4"/>
    <x v="862"/>
    <n v="2"/>
    <n v="7.9539999999999997"/>
    <n v="167.03399999999999"/>
    <x v="39"/>
    <d v="1899-12-30T16:30:00"/>
    <x v="0"/>
    <n v="159.08000000000001"/>
    <n v="4.7619047620000003"/>
    <n v="7.9539999999999997"/>
    <n v="6.2"/>
  </r>
  <r>
    <x v="909"/>
    <x v="2"/>
    <x v="2"/>
    <x v="1"/>
    <x v="0"/>
    <x v="2"/>
    <x v="863"/>
    <n v="10"/>
    <n v="24.504999999999999"/>
    <n v="514.60500000000002"/>
    <x v="3"/>
    <d v="1899-12-30T10:44:00"/>
    <x v="2"/>
    <n v="490.1"/>
    <n v="4.7619047620000003"/>
    <n v="24.504999999999999"/>
    <n v="4.2"/>
  </r>
  <r>
    <x v="910"/>
    <x v="2"/>
    <x v="2"/>
    <x v="0"/>
    <x v="0"/>
    <x v="4"/>
    <x v="864"/>
    <n v="3"/>
    <n v="4.3724999999999996"/>
    <n v="91.822500000000005"/>
    <x v="39"/>
    <d v="1899-12-30T20:29:00"/>
    <x v="2"/>
    <n v="87.45"/>
    <n v="4.7619047620000003"/>
    <n v="4.3724999999999996"/>
    <n v="7.3"/>
  </r>
  <r>
    <x v="911"/>
    <x v="1"/>
    <x v="1"/>
    <x v="1"/>
    <x v="0"/>
    <x v="1"/>
    <x v="865"/>
    <n v="4"/>
    <n v="11.226000000000001"/>
    <n v="235.74600000000001"/>
    <x v="64"/>
    <d v="1899-12-30T11:43:00"/>
    <x v="0"/>
    <n v="224.52"/>
    <n v="4.7619047620000003"/>
    <n v="11.226000000000001"/>
    <n v="8.6"/>
  </r>
  <r>
    <x v="912"/>
    <x v="0"/>
    <x v="0"/>
    <x v="1"/>
    <x v="0"/>
    <x v="2"/>
    <x v="866"/>
    <n v="8"/>
    <n v="37.247999999999998"/>
    <n v="782.20799999999997"/>
    <x v="13"/>
    <d v="1899-12-30T10:09:00"/>
    <x v="1"/>
    <n v="744.96"/>
    <n v="4.7619047620000003"/>
    <n v="37.247999999999998"/>
    <n v="6.8"/>
  </r>
  <r>
    <x v="913"/>
    <x v="0"/>
    <x v="0"/>
    <x v="0"/>
    <x v="1"/>
    <x v="5"/>
    <x v="455"/>
    <n v="8"/>
    <n v="20.536000000000001"/>
    <n v="431.25599999999997"/>
    <x v="82"/>
    <d v="1899-12-30T10:00:00"/>
    <x v="0"/>
    <n v="410.72"/>
    <n v="4.7619047620000003"/>
    <n v="20.536000000000001"/>
    <n v="7.6"/>
  </r>
  <r>
    <x v="914"/>
    <x v="0"/>
    <x v="0"/>
    <x v="0"/>
    <x v="0"/>
    <x v="4"/>
    <x v="867"/>
    <n v="3"/>
    <n v="14.94"/>
    <n v="313.74"/>
    <x v="6"/>
    <d v="1899-12-30T18:45:00"/>
    <x v="1"/>
    <n v="298.8"/>
    <n v="4.7619047620000003"/>
    <n v="14.94"/>
    <n v="5.8"/>
  </r>
  <r>
    <x v="915"/>
    <x v="1"/>
    <x v="1"/>
    <x v="1"/>
    <x v="0"/>
    <x v="1"/>
    <x v="868"/>
    <n v="6"/>
    <n v="10.647"/>
    <n v="223.58699999999999"/>
    <x v="30"/>
    <d v="1899-12-30T12:40:00"/>
    <x v="1"/>
    <n v="212.94"/>
    <n v="4.7619047620000003"/>
    <n v="10.647"/>
    <n v="4.0999999999999996"/>
  </r>
  <r>
    <x v="916"/>
    <x v="1"/>
    <x v="1"/>
    <x v="0"/>
    <x v="1"/>
    <x v="3"/>
    <x v="869"/>
    <n v="1"/>
    <n v="2.1425000000000001"/>
    <n v="44.9925"/>
    <x v="86"/>
    <d v="1899-12-30T15:36:00"/>
    <x v="2"/>
    <n v="42.85"/>
    <n v="4.7619047620000003"/>
    <n v="2.1425000000000001"/>
    <n v="9.3000000000000007"/>
  </r>
  <r>
    <x v="917"/>
    <x v="0"/>
    <x v="0"/>
    <x v="1"/>
    <x v="0"/>
    <x v="5"/>
    <x v="870"/>
    <n v="4"/>
    <n v="18.934000000000001"/>
    <n v="397.61399999999998"/>
    <x v="16"/>
    <d v="1899-12-30T12:04:00"/>
    <x v="1"/>
    <n v="378.68"/>
    <n v="4.7619047620000003"/>
    <n v="18.934000000000001"/>
    <n v="6.8"/>
  </r>
  <r>
    <x v="918"/>
    <x v="2"/>
    <x v="2"/>
    <x v="1"/>
    <x v="1"/>
    <x v="2"/>
    <x v="871"/>
    <n v="3"/>
    <n v="10.345499999999999"/>
    <n v="217.25550000000001"/>
    <x v="70"/>
    <d v="1899-12-30T11:26:00"/>
    <x v="0"/>
    <n v="206.91"/>
    <n v="4.7619047620000003"/>
    <n v="10.345499999999999"/>
    <n v="8.6999999999999993"/>
  </r>
  <r>
    <x v="919"/>
    <x v="2"/>
    <x v="2"/>
    <x v="0"/>
    <x v="0"/>
    <x v="1"/>
    <x v="362"/>
    <n v="3"/>
    <n v="3.9390000000000001"/>
    <n v="82.718999999999994"/>
    <x v="22"/>
    <d v="1899-12-30T12:36:00"/>
    <x v="0"/>
    <n v="78.78"/>
    <n v="4.7619047620000003"/>
    <n v="3.9390000000000001"/>
    <n v="6.3"/>
  </r>
  <r>
    <x v="920"/>
    <x v="1"/>
    <x v="1"/>
    <x v="0"/>
    <x v="0"/>
    <x v="2"/>
    <x v="872"/>
    <n v="9"/>
    <n v="16.105499999999999"/>
    <n v="338.21550000000002"/>
    <x v="24"/>
    <d v="1899-12-30T15:06:00"/>
    <x v="2"/>
    <n v="322.11"/>
    <n v="4.7619047620000003"/>
    <n v="16.105499999999999"/>
    <n v="5.0999999999999996"/>
  </r>
  <r>
    <x v="921"/>
    <x v="2"/>
    <x v="2"/>
    <x v="1"/>
    <x v="0"/>
    <x v="2"/>
    <x v="873"/>
    <n v="6"/>
    <n v="4.9109999999999996"/>
    <n v="103.131"/>
    <x v="4"/>
    <d v="1899-12-30T10:58:00"/>
    <x v="1"/>
    <n v="98.22"/>
    <n v="4.7619047620000003"/>
    <n v="4.9109999999999996"/>
    <n v="7"/>
  </r>
  <r>
    <x v="922"/>
    <x v="1"/>
    <x v="1"/>
    <x v="0"/>
    <x v="0"/>
    <x v="2"/>
    <x v="874"/>
    <n v="2"/>
    <n v="1.2729999999999999"/>
    <n v="26.733000000000001"/>
    <x v="70"/>
    <d v="1899-12-30T12:10:00"/>
    <x v="2"/>
    <n v="25.46"/>
    <n v="4.7619047620000003"/>
    <n v="1.2729999999999999"/>
    <n v="5.2"/>
  </r>
  <r>
    <x v="923"/>
    <x v="1"/>
    <x v="1"/>
    <x v="1"/>
    <x v="0"/>
    <x v="3"/>
    <x v="875"/>
    <n v="7"/>
    <n v="29.099"/>
    <n v="611.07899999999995"/>
    <x v="8"/>
    <d v="1899-12-30T10:31:00"/>
    <x v="2"/>
    <n v="581.98"/>
    <n v="4.7619047620000003"/>
    <n v="29.099"/>
    <n v="6.6"/>
  </r>
  <r>
    <x v="924"/>
    <x v="1"/>
    <x v="1"/>
    <x v="0"/>
    <x v="0"/>
    <x v="3"/>
    <x v="876"/>
    <n v="6"/>
    <n v="10.566000000000001"/>
    <n v="221.886"/>
    <x v="86"/>
    <d v="1899-12-30T13:49:00"/>
    <x v="0"/>
    <n v="211.32"/>
    <n v="4.7619047620000003"/>
    <n v="10.566000000000001"/>
    <n v="6.5"/>
  </r>
  <r>
    <x v="925"/>
    <x v="2"/>
    <x v="2"/>
    <x v="1"/>
    <x v="0"/>
    <x v="1"/>
    <x v="877"/>
    <n v="4"/>
    <n v="2.7559999999999998"/>
    <n v="57.875999999999998"/>
    <x v="8"/>
    <d v="1899-12-30T11:10:00"/>
    <x v="0"/>
    <n v="55.12"/>
    <n v="4.7619047620000003"/>
    <n v="2.7559999999999998"/>
    <n v="9"/>
  </r>
  <r>
    <x v="926"/>
    <x v="2"/>
    <x v="2"/>
    <x v="0"/>
    <x v="1"/>
    <x v="3"/>
    <x v="878"/>
    <n v="1"/>
    <n v="4.4154999999999998"/>
    <n v="92.725499999999997"/>
    <x v="42"/>
    <d v="1899-12-30T17:38:00"/>
    <x v="2"/>
    <n v="88.31"/>
    <n v="4.7619047620000003"/>
    <n v="4.4154999999999998"/>
    <n v="5.2"/>
  </r>
  <r>
    <x v="927"/>
    <x v="0"/>
    <x v="0"/>
    <x v="0"/>
    <x v="0"/>
    <x v="0"/>
    <x v="129"/>
    <n v="9"/>
    <n v="17.829000000000001"/>
    <n v="374.40899999999999"/>
    <x v="50"/>
    <d v="1899-12-30T17:54:00"/>
    <x v="2"/>
    <n v="356.58"/>
    <n v="4.7619047620000003"/>
    <n v="17.829000000000001"/>
    <n v="6.8"/>
  </r>
  <r>
    <x v="928"/>
    <x v="2"/>
    <x v="2"/>
    <x v="1"/>
    <x v="0"/>
    <x v="1"/>
    <x v="879"/>
    <n v="9"/>
    <n v="39.712499999999999"/>
    <n v="833.96249999999998"/>
    <x v="42"/>
    <d v="1899-12-30T20:51:00"/>
    <x v="2"/>
    <n v="794.25"/>
    <n v="4.7619047620000003"/>
    <n v="39.712499999999999"/>
    <n v="7.6"/>
  </r>
  <r>
    <x v="929"/>
    <x v="2"/>
    <x v="2"/>
    <x v="1"/>
    <x v="1"/>
    <x v="3"/>
    <x v="880"/>
    <n v="2"/>
    <n v="2.5310000000000001"/>
    <n v="53.151000000000003"/>
    <x v="22"/>
    <d v="1899-12-30T19:26:00"/>
    <x v="0"/>
    <n v="50.62"/>
    <n v="4.7619047620000003"/>
    <n v="2.5310000000000001"/>
    <n v="7.2"/>
  </r>
  <r>
    <x v="930"/>
    <x v="2"/>
    <x v="2"/>
    <x v="1"/>
    <x v="1"/>
    <x v="2"/>
    <x v="881"/>
    <n v="6"/>
    <n v="29.975999999999999"/>
    <n v="629.49599999999998"/>
    <x v="62"/>
    <d v="1899-12-30T13:33:00"/>
    <x v="0"/>
    <n v="599.52"/>
    <n v="4.7619047620000003"/>
    <n v="29.975999999999999"/>
    <n v="7.1"/>
  </r>
  <r>
    <x v="931"/>
    <x v="1"/>
    <x v="1"/>
    <x v="0"/>
    <x v="0"/>
    <x v="5"/>
    <x v="882"/>
    <n v="2"/>
    <n v="8.3350000000000009"/>
    <n v="175.035"/>
    <x v="30"/>
    <d v="1899-12-30T14:05:00"/>
    <x v="2"/>
    <n v="166.7"/>
    <n v="4.7619047620000003"/>
    <n v="8.3350000000000009"/>
    <n v="9.5"/>
  </r>
  <r>
    <x v="932"/>
    <x v="0"/>
    <x v="0"/>
    <x v="1"/>
    <x v="0"/>
    <x v="4"/>
    <x v="883"/>
    <n v="10"/>
    <n v="37.22"/>
    <n v="781.62"/>
    <x v="33"/>
    <d v="1899-12-30T11:40:00"/>
    <x v="0"/>
    <n v="744.4"/>
    <n v="4.7619047620000003"/>
    <n v="37.22"/>
    <n v="5.0999999999999996"/>
  </r>
  <r>
    <x v="933"/>
    <x v="1"/>
    <x v="1"/>
    <x v="1"/>
    <x v="1"/>
    <x v="0"/>
    <x v="654"/>
    <n v="7"/>
    <n v="22.428000000000001"/>
    <n v="470.988"/>
    <x v="40"/>
    <d v="1899-12-30T12:27:00"/>
    <x v="0"/>
    <n v="448.56"/>
    <n v="4.7619047620000003"/>
    <n v="22.428000000000001"/>
    <n v="7.6"/>
  </r>
  <r>
    <x v="934"/>
    <x v="2"/>
    <x v="2"/>
    <x v="1"/>
    <x v="0"/>
    <x v="2"/>
    <x v="884"/>
    <n v="6"/>
    <n v="18.945"/>
    <n v="397.84500000000003"/>
    <x v="75"/>
    <d v="1899-12-30T20:24:00"/>
    <x v="0"/>
    <n v="378.9"/>
    <n v="4.7619047620000003"/>
    <n v="18.945"/>
    <n v="9.8000000000000007"/>
  </r>
  <r>
    <x v="935"/>
    <x v="1"/>
    <x v="1"/>
    <x v="0"/>
    <x v="1"/>
    <x v="2"/>
    <x v="885"/>
    <n v="3"/>
    <n v="12.858000000000001"/>
    <n v="270.01799999999997"/>
    <x v="46"/>
    <d v="1899-12-30T20:59:00"/>
    <x v="0"/>
    <n v="257.16000000000003"/>
    <n v="4.7619047620000003"/>
    <n v="12.858000000000001"/>
    <n v="5.0999999999999996"/>
  </r>
  <r>
    <x v="936"/>
    <x v="1"/>
    <x v="1"/>
    <x v="1"/>
    <x v="0"/>
    <x v="0"/>
    <x v="886"/>
    <n v="7"/>
    <n v="27.611499999999999"/>
    <n v="579.8415"/>
    <x v="0"/>
    <d v="1899-12-30T19:48:00"/>
    <x v="0"/>
    <n v="552.23"/>
    <n v="4.7619047620000003"/>
    <n v="27.611499999999999"/>
    <n v="7.5"/>
  </r>
  <r>
    <x v="937"/>
    <x v="0"/>
    <x v="0"/>
    <x v="1"/>
    <x v="0"/>
    <x v="3"/>
    <x v="70"/>
    <n v="5"/>
    <n v="22.37"/>
    <n v="469.77"/>
    <x v="73"/>
    <d v="1899-12-30T10:18:00"/>
    <x v="1"/>
    <n v="447.4"/>
    <n v="4.7619047620000003"/>
    <n v="22.37"/>
    <n v="7.4"/>
  </r>
  <r>
    <x v="938"/>
    <x v="0"/>
    <x v="0"/>
    <x v="0"/>
    <x v="0"/>
    <x v="0"/>
    <x v="887"/>
    <n v="3"/>
    <n v="13.813499999999999"/>
    <n v="290.08350000000002"/>
    <x v="21"/>
    <d v="1899-12-30T16:27:00"/>
    <x v="1"/>
    <n v="276.27"/>
    <n v="4.7619047620000003"/>
    <n v="13.813499999999999"/>
    <n v="4.2"/>
  </r>
  <r>
    <x v="939"/>
    <x v="1"/>
    <x v="1"/>
    <x v="1"/>
    <x v="0"/>
    <x v="4"/>
    <x v="888"/>
    <n v="6"/>
    <n v="17.187000000000001"/>
    <n v="360.92700000000002"/>
    <x v="76"/>
    <d v="1899-12-30T17:04:00"/>
    <x v="0"/>
    <n v="343.74"/>
    <n v="4.7619047620000003"/>
    <n v="17.187000000000001"/>
    <n v="5.9"/>
  </r>
  <r>
    <x v="940"/>
    <x v="0"/>
    <x v="0"/>
    <x v="1"/>
    <x v="1"/>
    <x v="4"/>
    <x v="889"/>
    <n v="4"/>
    <n v="13.304"/>
    <n v="279.38400000000001"/>
    <x v="22"/>
    <d v="1899-12-30T18:14:00"/>
    <x v="0"/>
    <n v="266.08"/>
    <n v="4.7619047620000003"/>
    <n v="13.304"/>
    <n v="6.9"/>
  </r>
  <r>
    <x v="941"/>
    <x v="1"/>
    <x v="1"/>
    <x v="0"/>
    <x v="1"/>
    <x v="5"/>
    <x v="295"/>
    <n v="9"/>
    <n v="44.918999999999997"/>
    <n v="943.29899999999998"/>
    <x v="39"/>
    <d v="1899-12-30T10:43:00"/>
    <x v="1"/>
    <n v="898.38"/>
    <n v="4.7619047620000003"/>
    <n v="44.918999999999997"/>
    <n v="6.6"/>
  </r>
  <r>
    <x v="942"/>
    <x v="0"/>
    <x v="0"/>
    <x v="1"/>
    <x v="0"/>
    <x v="2"/>
    <x v="890"/>
    <n v="10"/>
    <n v="22.84"/>
    <n v="479.64"/>
    <x v="64"/>
    <d v="1899-12-30T19:30:00"/>
    <x v="0"/>
    <n v="456.8"/>
    <n v="4.7619047620000003"/>
    <n v="22.84"/>
    <n v="5.7"/>
  </r>
  <r>
    <x v="943"/>
    <x v="0"/>
    <x v="0"/>
    <x v="1"/>
    <x v="1"/>
    <x v="0"/>
    <x v="891"/>
    <n v="5"/>
    <n v="12.6975"/>
    <n v="266.64749999999998"/>
    <x v="88"/>
    <d v="1899-12-30T14:53:00"/>
    <x v="2"/>
    <n v="253.95"/>
    <n v="4.7619047620000003"/>
    <n v="12.6975"/>
    <n v="5.3"/>
  </r>
  <r>
    <x v="944"/>
    <x v="0"/>
    <x v="0"/>
    <x v="0"/>
    <x v="1"/>
    <x v="0"/>
    <x v="892"/>
    <n v="7"/>
    <n v="3.528"/>
    <n v="74.087999999999994"/>
    <x v="61"/>
    <d v="1899-12-30T20:14:00"/>
    <x v="1"/>
    <n v="70.56"/>
    <n v="4.7619047620000003"/>
    <n v="3.528"/>
    <n v="4.2"/>
  </r>
  <r>
    <x v="945"/>
    <x v="0"/>
    <x v="0"/>
    <x v="1"/>
    <x v="0"/>
    <x v="1"/>
    <x v="893"/>
    <n v="7"/>
    <n v="32.857999999999997"/>
    <n v="690.01800000000003"/>
    <x v="0"/>
    <d v="1899-12-30T11:51:00"/>
    <x v="2"/>
    <n v="657.16"/>
    <n v="4.7619047620000003"/>
    <n v="32.857999999999997"/>
    <n v="7.3"/>
  </r>
  <r>
    <x v="946"/>
    <x v="1"/>
    <x v="1"/>
    <x v="0"/>
    <x v="1"/>
    <x v="1"/>
    <x v="894"/>
    <n v="2"/>
    <n v="8.4250000000000007"/>
    <n v="176.92500000000001"/>
    <x v="58"/>
    <d v="1899-12-30T14:13:00"/>
    <x v="2"/>
    <n v="168.5"/>
    <n v="4.7619047620000003"/>
    <n v="8.4250000000000007"/>
    <n v="5.3"/>
  </r>
  <r>
    <x v="947"/>
    <x v="2"/>
    <x v="2"/>
    <x v="0"/>
    <x v="1"/>
    <x v="5"/>
    <x v="895"/>
    <n v="1"/>
    <n v="2.6890000000000001"/>
    <n v="56.469000000000001"/>
    <x v="36"/>
    <d v="1899-12-30T20:13:00"/>
    <x v="0"/>
    <n v="53.78"/>
    <n v="4.7619047620000003"/>
    <n v="2.6890000000000001"/>
    <n v="4.7"/>
  </r>
  <r>
    <x v="948"/>
    <x v="1"/>
    <x v="1"/>
    <x v="0"/>
    <x v="1"/>
    <x v="2"/>
    <x v="896"/>
    <n v="5"/>
    <n v="8.9525000000000006"/>
    <n v="188.0025"/>
    <x v="10"/>
    <d v="1899-12-30T18:44:00"/>
    <x v="0"/>
    <n v="179.05"/>
    <n v="4.7619047620000003"/>
    <n v="8.9525000000000006"/>
    <n v="7.9"/>
  </r>
  <r>
    <x v="949"/>
    <x v="2"/>
    <x v="2"/>
    <x v="1"/>
    <x v="0"/>
    <x v="4"/>
    <x v="897"/>
    <n v="8"/>
    <n v="10.571999999999999"/>
    <n v="222.012"/>
    <x v="7"/>
    <d v="1899-12-30T14:26:00"/>
    <x v="0"/>
    <n v="211.44"/>
    <n v="4.7619047620000003"/>
    <n v="10.571999999999999"/>
    <n v="8.9"/>
  </r>
  <r>
    <x v="950"/>
    <x v="2"/>
    <x v="2"/>
    <x v="0"/>
    <x v="1"/>
    <x v="0"/>
    <x v="898"/>
    <n v="3"/>
    <n v="5.9865000000000004"/>
    <n v="125.7165"/>
    <x v="81"/>
    <d v="1899-12-30T12:40:00"/>
    <x v="0"/>
    <n v="119.73"/>
    <n v="4.7619047620000003"/>
    <n v="5.9865000000000004"/>
    <n v="9.3000000000000007"/>
  </r>
  <r>
    <x v="951"/>
    <x v="2"/>
    <x v="2"/>
    <x v="0"/>
    <x v="0"/>
    <x v="2"/>
    <x v="899"/>
    <n v="3"/>
    <n v="3.2850000000000001"/>
    <n v="68.984999999999999"/>
    <x v="51"/>
    <d v="1899-12-30T18:43:00"/>
    <x v="0"/>
    <n v="65.7"/>
    <n v="4.7619047620000003"/>
    <n v="3.2850000000000001"/>
    <n v="4.7"/>
  </r>
  <r>
    <x v="952"/>
    <x v="2"/>
    <x v="2"/>
    <x v="0"/>
    <x v="0"/>
    <x v="4"/>
    <x v="900"/>
    <n v="4"/>
    <n v="12.57"/>
    <n v="263.97000000000003"/>
    <x v="6"/>
    <d v="1899-12-30T13:22:00"/>
    <x v="0"/>
    <n v="251.4"/>
    <n v="4.7619047620000003"/>
    <n v="12.57"/>
    <n v="8.6999999999999993"/>
  </r>
  <r>
    <x v="953"/>
    <x v="1"/>
    <x v="1"/>
    <x v="0"/>
    <x v="0"/>
    <x v="4"/>
    <x v="901"/>
    <n v="4"/>
    <n v="4.2080000000000002"/>
    <n v="88.367999999999995"/>
    <x v="50"/>
    <d v="1899-12-30T13:58:00"/>
    <x v="1"/>
    <n v="84.16"/>
    <n v="4.7619047620000003"/>
    <n v="4.2080000000000002"/>
    <n v="7.6"/>
  </r>
  <r>
    <x v="954"/>
    <x v="2"/>
    <x v="2"/>
    <x v="0"/>
    <x v="1"/>
    <x v="2"/>
    <x v="902"/>
    <n v="6"/>
    <n v="19.773"/>
    <n v="415.233"/>
    <x v="57"/>
    <d v="1899-12-30T11:45:00"/>
    <x v="1"/>
    <n v="395.46"/>
    <n v="4.7619047620000003"/>
    <n v="19.773"/>
    <n v="5.7"/>
  </r>
  <r>
    <x v="955"/>
    <x v="0"/>
    <x v="0"/>
    <x v="1"/>
    <x v="0"/>
    <x v="5"/>
    <x v="163"/>
    <n v="7"/>
    <n v="14.8995"/>
    <n v="312.8895"/>
    <x v="47"/>
    <d v="1899-12-30T11:51:00"/>
    <x v="1"/>
    <n v="297.99"/>
    <n v="4.7619047620000003"/>
    <n v="14.8995"/>
    <n v="6.8"/>
  </r>
  <r>
    <x v="956"/>
    <x v="1"/>
    <x v="1"/>
    <x v="0"/>
    <x v="1"/>
    <x v="4"/>
    <x v="903"/>
    <n v="9"/>
    <n v="22.720500000000001"/>
    <n v="477.13049999999998"/>
    <x v="8"/>
    <d v="1899-12-30T17:16:00"/>
    <x v="1"/>
    <n v="454.41"/>
    <n v="4.7619047620000003"/>
    <n v="22.720500000000001"/>
    <n v="5.4"/>
  </r>
  <r>
    <x v="957"/>
    <x v="2"/>
    <x v="2"/>
    <x v="1"/>
    <x v="1"/>
    <x v="1"/>
    <x v="904"/>
    <n v="6"/>
    <n v="13.805999999999999"/>
    <n v="289.92599999999999"/>
    <x v="13"/>
    <d v="1899-12-30T15:55:00"/>
    <x v="1"/>
    <n v="276.12"/>
    <n v="4.7619047620000003"/>
    <n v="13.805999999999999"/>
    <n v="7.1"/>
  </r>
  <r>
    <x v="958"/>
    <x v="1"/>
    <x v="1"/>
    <x v="1"/>
    <x v="0"/>
    <x v="2"/>
    <x v="905"/>
    <n v="10"/>
    <n v="7.9"/>
    <n v="165.9"/>
    <x v="51"/>
    <d v="1899-12-30T12:07:00"/>
    <x v="1"/>
    <n v="158"/>
    <n v="4.7619047620000003"/>
    <n v="7.9"/>
    <n v="7.8"/>
  </r>
  <r>
    <x v="959"/>
    <x v="0"/>
    <x v="0"/>
    <x v="0"/>
    <x v="0"/>
    <x v="4"/>
    <x v="906"/>
    <n v="9"/>
    <n v="44.396999999999998"/>
    <n v="932.33699999999999"/>
    <x v="88"/>
    <d v="1899-12-30T15:07:00"/>
    <x v="1"/>
    <n v="887.94"/>
    <n v="4.7619047620000003"/>
    <n v="44.396999999999998"/>
    <n v="8.4"/>
  </r>
  <r>
    <x v="960"/>
    <x v="1"/>
    <x v="1"/>
    <x v="0"/>
    <x v="1"/>
    <x v="5"/>
    <x v="907"/>
    <n v="1"/>
    <n v="4.5990000000000002"/>
    <n v="96.578999999999994"/>
    <x v="79"/>
    <d v="1899-12-30T15:29:00"/>
    <x v="1"/>
    <n v="91.98"/>
    <n v="4.7619047620000003"/>
    <n v="4.5990000000000002"/>
    <n v="9.8000000000000007"/>
  </r>
  <r>
    <x v="961"/>
    <x v="0"/>
    <x v="0"/>
    <x v="0"/>
    <x v="1"/>
    <x v="1"/>
    <x v="908"/>
    <n v="2"/>
    <n v="2.089"/>
    <n v="43.869"/>
    <x v="63"/>
    <d v="1899-12-30T18:45:00"/>
    <x v="1"/>
    <n v="41.78"/>
    <n v="4.7619047620000003"/>
    <n v="2.089"/>
    <n v="9.8000000000000007"/>
  </r>
  <r>
    <x v="962"/>
    <x v="0"/>
    <x v="0"/>
    <x v="1"/>
    <x v="0"/>
    <x v="5"/>
    <x v="180"/>
    <n v="1"/>
    <n v="0.77500000000000002"/>
    <n v="16.274999999999999"/>
    <x v="35"/>
    <d v="1899-12-30T15:23:00"/>
    <x v="2"/>
    <n v="15.5"/>
    <n v="4.7619047620000003"/>
    <n v="0.77500000000000002"/>
    <n v="7.4"/>
  </r>
  <r>
    <x v="963"/>
    <x v="1"/>
    <x v="1"/>
    <x v="0"/>
    <x v="1"/>
    <x v="1"/>
    <x v="909"/>
    <n v="3"/>
    <n v="14.523"/>
    <n v="304.983"/>
    <x v="73"/>
    <d v="1899-12-30T20:37:00"/>
    <x v="1"/>
    <n v="290.45999999999998"/>
    <n v="4.7619047620000003"/>
    <n v="14.523"/>
    <n v="6.7"/>
  </r>
  <r>
    <x v="964"/>
    <x v="2"/>
    <x v="2"/>
    <x v="1"/>
    <x v="1"/>
    <x v="4"/>
    <x v="910"/>
    <n v="2"/>
    <n v="3.3330000000000002"/>
    <n v="69.992999999999995"/>
    <x v="53"/>
    <d v="1899-12-30T14:41:00"/>
    <x v="2"/>
    <n v="66.66"/>
    <n v="4.7619047620000003"/>
    <n v="3.3330000000000002"/>
    <n v="6.4"/>
  </r>
  <r>
    <x v="965"/>
    <x v="2"/>
    <x v="2"/>
    <x v="1"/>
    <x v="0"/>
    <x v="1"/>
    <x v="911"/>
    <n v="2"/>
    <n v="3.827"/>
    <n v="80.367000000000004"/>
    <x v="22"/>
    <d v="1899-12-30T18:18:00"/>
    <x v="2"/>
    <n v="76.540000000000006"/>
    <n v="4.7619047620000003"/>
    <n v="3.827"/>
    <n v="5.8"/>
  </r>
  <r>
    <x v="966"/>
    <x v="0"/>
    <x v="0"/>
    <x v="1"/>
    <x v="0"/>
    <x v="2"/>
    <x v="912"/>
    <n v="9"/>
    <n v="14.984999999999999"/>
    <n v="314.685"/>
    <x v="31"/>
    <d v="1899-12-30T15:27:00"/>
    <x v="0"/>
    <n v="299.7"/>
    <n v="4.7619047620000003"/>
    <n v="14.984999999999999"/>
    <n v="7.2"/>
  </r>
  <r>
    <x v="967"/>
    <x v="0"/>
    <x v="0"/>
    <x v="0"/>
    <x v="1"/>
    <x v="2"/>
    <x v="913"/>
    <n v="3"/>
    <n v="12.1515"/>
    <n v="255.1815"/>
    <x v="50"/>
    <d v="1899-12-30T12:55:00"/>
    <x v="2"/>
    <n v="243.03"/>
    <n v="4.7619047620000003"/>
    <n v="12.1515"/>
    <n v="9.3000000000000007"/>
  </r>
  <r>
    <x v="968"/>
    <x v="0"/>
    <x v="0"/>
    <x v="1"/>
    <x v="0"/>
    <x v="0"/>
    <x v="905"/>
    <n v="3"/>
    <n v="2.37"/>
    <n v="49.77"/>
    <x v="5"/>
    <d v="1899-12-30T18:02:00"/>
    <x v="1"/>
    <n v="47.4"/>
    <n v="4.7619047620000003"/>
    <n v="2.37"/>
    <n v="9.5"/>
  </r>
  <r>
    <x v="969"/>
    <x v="2"/>
    <x v="2"/>
    <x v="0"/>
    <x v="0"/>
    <x v="1"/>
    <x v="914"/>
    <n v="5"/>
    <n v="8.6225000000000005"/>
    <n v="181.07249999999999"/>
    <x v="16"/>
    <d v="1899-12-30T19:44:00"/>
    <x v="2"/>
    <n v="172.45"/>
    <n v="4.7619047620000003"/>
    <n v="8.6225000000000005"/>
    <n v="9"/>
  </r>
  <r>
    <x v="970"/>
    <x v="2"/>
    <x v="2"/>
    <x v="0"/>
    <x v="0"/>
    <x v="4"/>
    <x v="915"/>
    <n v="10"/>
    <n v="42.314999999999998"/>
    <n v="888.61500000000001"/>
    <x v="17"/>
    <d v="1899-12-30T11:36:00"/>
    <x v="2"/>
    <n v="846.3"/>
    <n v="4.7619047620000003"/>
    <n v="42.314999999999998"/>
    <n v="9"/>
  </r>
  <r>
    <x v="971"/>
    <x v="2"/>
    <x v="2"/>
    <x v="0"/>
    <x v="1"/>
    <x v="2"/>
    <x v="916"/>
    <n v="7"/>
    <n v="12.9185"/>
    <n v="271.2885"/>
    <x v="34"/>
    <d v="1899-12-30T13:51:00"/>
    <x v="0"/>
    <n v="258.37"/>
    <n v="4.7619047620000003"/>
    <n v="12.9185"/>
    <n v="6.7"/>
  </r>
  <r>
    <x v="972"/>
    <x v="2"/>
    <x v="2"/>
    <x v="1"/>
    <x v="1"/>
    <x v="1"/>
    <x v="917"/>
    <n v="7"/>
    <n v="30.478000000000002"/>
    <n v="640.03800000000001"/>
    <x v="53"/>
    <d v="1899-12-30T15:17:00"/>
    <x v="1"/>
    <n v="609.55999999999995"/>
    <n v="4.7619047620000003"/>
    <n v="30.478000000000002"/>
    <n v="5.5"/>
  </r>
  <r>
    <x v="973"/>
    <x v="0"/>
    <x v="0"/>
    <x v="1"/>
    <x v="1"/>
    <x v="2"/>
    <x v="918"/>
    <n v="3"/>
    <n v="12.012"/>
    <n v="252.25200000000001"/>
    <x v="48"/>
    <d v="1899-12-30T15:29:00"/>
    <x v="1"/>
    <n v="240.24"/>
    <n v="4.7619047620000003"/>
    <n v="12.012"/>
    <n v="5.4"/>
  </r>
  <r>
    <x v="974"/>
    <x v="1"/>
    <x v="1"/>
    <x v="1"/>
    <x v="1"/>
    <x v="5"/>
    <x v="919"/>
    <n v="2"/>
    <n v="8.6129999999999995"/>
    <n v="180.87299999999999"/>
    <x v="13"/>
    <d v="1899-12-30T17:59:00"/>
    <x v="1"/>
    <n v="172.26"/>
    <n v="4.7619047620000003"/>
    <n v="8.6129999999999995"/>
    <n v="8.1999999999999993"/>
  </r>
  <r>
    <x v="975"/>
    <x v="2"/>
    <x v="2"/>
    <x v="0"/>
    <x v="1"/>
    <x v="5"/>
    <x v="920"/>
    <n v="2"/>
    <n v="4.992"/>
    <n v="104.83199999999999"/>
    <x v="43"/>
    <d v="1899-12-30T11:55:00"/>
    <x v="2"/>
    <n v="99.84"/>
    <n v="4.7619047620000003"/>
    <n v="4.992"/>
    <n v="7"/>
  </r>
  <r>
    <x v="976"/>
    <x v="0"/>
    <x v="0"/>
    <x v="1"/>
    <x v="0"/>
    <x v="4"/>
    <x v="921"/>
    <n v="4"/>
    <n v="14.932"/>
    <n v="313.572"/>
    <x v="31"/>
    <d v="1899-12-30T10:39:00"/>
    <x v="1"/>
    <n v="298.64"/>
    <n v="4.7619047620000003"/>
    <n v="14.932"/>
    <n v="8.5"/>
  </r>
  <r>
    <x v="977"/>
    <x v="2"/>
    <x v="2"/>
    <x v="0"/>
    <x v="1"/>
    <x v="4"/>
    <x v="922"/>
    <n v="6"/>
    <n v="7.98"/>
    <n v="167.58"/>
    <x v="84"/>
    <d v="1899-12-30T15:10:00"/>
    <x v="0"/>
    <n v="159.6"/>
    <n v="4.7619047620000003"/>
    <n v="7.98"/>
    <n v="4.9000000000000004"/>
  </r>
  <r>
    <x v="978"/>
    <x v="2"/>
    <x v="2"/>
    <x v="1"/>
    <x v="0"/>
    <x v="1"/>
    <x v="923"/>
    <n v="1"/>
    <n v="1.2725"/>
    <n v="26.7225"/>
    <x v="24"/>
    <d v="1899-12-30T18:10:00"/>
    <x v="2"/>
    <n v="25.45"/>
    <n v="4.7619047620000003"/>
    <n v="1.2725"/>
    <n v="5.0999999999999996"/>
  </r>
  <r>
    <x v="979"/>
    <x v="2"/>
    <x v="2"/>
    <x v="1"/>
    <x v="0"/>
    <x v="4"/>
    <x v="924"/>
    <n v="1"/>
    <n v="3.3885000000000001"/>
    <n v="71.158500000000004"/>
    <x v="87"/>
    <d v="1899-12-30T20:43:00"/>
    <x v="2"/>
    <n v="67.77"/>
    <n v="4.7619047620000003"/>
    <n v="3.3885000000000001"/>
    <n v="6.5"/>
  </r>
  <r>
    <x v="980"/>
    <x v="1"/>
    <x v="1"/>
    <x v="0"/>
    <x v="1"/>
    <x v="4"/>
    <x v="925"/>
    <n v="4"/>
    <n v="11.917999999999999"/>
    <n v="250.27799999999999"/>
    <x v="64"/>
    <d v="1899-12-30T12:46:00"/>
    <x v="1"/>
    <n v="238.36"/>
    <n v="4.7619047620000003"/>
    <n v="11.917999999999999"/>
    <n v="9.8000000000000007"/>
  </r>
  <r>
    <x v="981"/>
    <x v="0"/>
    <x v="0"/>
    <x v="1"/>
    <x v="1"/>
    <x v="0"/>
    <x v="926"/>
    <n v="4"/>
    <n v="11.63"/>
    <n v="244.23"/>
    <x v="54"/>
    <d v="1899-12-30T17:44:00"/>
    <x v="1"/>
    <n v="232.6"/>
    <n v="4.7619047620000003"/>
    <n v="11.63"/>
    <n v="8.4"/>
  </r>
  <r>
    <x v="982"/>
    <x v="0"/>
    <x v="0"/>
    <x v="0"/>
    <x v="0"/>
    <x v="3"/>
    <x v="927"/>
    <n v="9"/>
    <n v="43.866"/>
    <n v="921.18600000000004"/>
    <x v="86"/>
    <d v="1899-12-30T14:19:00"/>
    <x v="0"/>
    <n v="877.32"/>
    <n v="4.7619047620000003"/>
    <n v="43.866"/>
    <n v="7.4"/>
  </r>
  <r>
    <x v="983"/>
    <x v="1"/>
    <x v="1"/>
    <x v="1"/>
    <x v="1"/>
    <x v="0"/>
    <x v="121"/>
    <n v="7"/>
    <n v="34.985999999999997"/>
    <n v="734.70600000000002"/>
    <x v="54"/>
    <d v="1899-12-30T10:33:00"/>
    <x v="1"/>
    <n v="699.72"/>
    <n v="4.7619047620000003"/>
    <n v="34.985999999999997"/>
    <n v="6.1"/>
  </r>
  <r>
    <x v="984"/>
    <x v="1"/>
    <x v="1"/>
    <x v="1"/>
    <x v="1"/>
    <x v="1"/>
    <x v="928"/>
    <n v="7"/>
    <n v="33.729500000000002"/>
    <n v="708.31949999999995"/>
    <x v="51"/>
    <d v="1899-12-30T11:40:00"/>
    <x v="1"/>
    <n v="674.59"/>
    <n v="4.7619047620000003"/>
    <n v="33.729500000000002"/>
    <n v="6"/>
  </r>
  <r>
    <x v="985"/>
    <x v="2"/>
    <x v="2"/>
    <x v="1"/>
    <x v="0"/>
    <x v="5"/>
    <x v="929"/>
    <n v="5"/>
    <n v="15.9275"/>
    <n v="334.47750000000002"/>
    <x v="13"/>
    <d v="1899-12-30T19:30:00"/>
    <x v="0"/>
    <n v="318.55"/>
    <n v="4.7619047620000003"/>
    <n v="15.9275"/>
    <n v="8.5"/>
  </r>
  <r>
    <x v="986"/>
    <x v="2"/>
    <x v="2"/>
    <x v="1"/>
    <x v="0"/>
    <x v="0"/>
    <x v="930"/>
    <n v="2"/>
    <n v="1.476"/>
    <n v="30.995999999999999"/>
    <x v="67"/>
    <d v="1899-12-30T14:42:00"/>
    <x v="0"/>
    <n v="29.52"/>
    <n v="4.7619047620000003"/>
    <n v="1.476"/>
    <n v="4.3"/>
  </r>
  <r>
    <x v="987"/>
    <x v="2"/>
    <x v="2"/>
    <x v="0"/>
    <x v="1"/>
    <x v="0"/>
    <x v="931"/>
    <n v="8"/>
    <n v="24.8"/>
    <n v="520.79999999999995"/>
    <x v="75"/>
    <d v="1899-12-30T19:08:00"/>
    <x v="2"/>
    <n v="496"/>
    <n v="4.7619047620000003"/>
    <n v="24.8"/>
    <n v="6.2"/>
  </r>
  <r>
    <x v="988"/>
    <x v="1"/>
    <x v="1"/>
    <x v="0"/>
    <x v="1"/>
    <x v="1"/>
    <x v="932"/>
    <n v="10"/>
    <n v="41.17"/>
    <n v="864.57"/>
    <x v="14"/>
    <d v="1899-12-30T19:12:00"/>
    <x v="0"/>
    <n v="823.4"/>
    <n v="4.7619047620000003"/>
    <n v="41.17"/>
    <n v="4.3"/>
  </r>
  <r>
    <x v="989"/>
    <x v="2"/>
    <x v="2"/>
    <x v="0"/>
    <x v="1"/>
    <x v="0"/>
    <x v="933"/>
    <n v="8"/>
    <n v="30.148"/>
    <n v="633.10799999999995"/>
    <x v="26"/>
    <d v="1899-12-30T15:46:00"/>
    <x v="2"/>
    <n v="602.96"/>
    <n v="4.7619047620000003"/>
    <n v="30.148"/>
    <n v="8.4"/>
  </r>
  <r>
    <x v="990"/>
    <x v="0"/>
    <x v="0"/>
    <x v="1"/>
    <x v="0"/>
    <x v="4"/>
    <x v="934"/>
    <n v="5"/>
    <n v="14.14"/>
    <n v="296.94"/>
    <x v="23"/>
    <d v="1899-12-30T19:06:00"/>
    <x v="2"/>
    <n v="282.8"/>
    <n v="4.7619047620000003"/>
    <n v="14.14"/>
    <n v="4.5"/>
  </r>
  <r>
    <x v="991"/>
    <x v="2"/>
    <x v="2"/>
    <x v="1"/>
    <x v="0"/>
    <x v="3"/>
    <x v="935"/>
    <n v="10"/>
    <n v="38.299999999999997"/>
    <n v="804.3"/>
    <x v="46"/>
    <d v="1899-12-30T18:10:00"/>
    <x v="0"/>
    <n v="766"/>
    <n v="4.7619047620000003"/>
    <n v="38.299999999999997"/>
    <n v="6"/>
  </r>
  <r>
    <x v="992"/>
    <x v="0"/>
    <x v="0"/>
    <x v="1"/>
    <x v="1"/>
    <x v="1"/>
    <x v="936"/>
    <n v="2"/>
    <n v="5.8029999999999999"/>
    <n v="121.863"/>
    <x v="24"/>
    <d v="1899-12-30T20:46:00"/>
    <x v="0"/>
    <n v="116.06"/>
    <n v="4.7619047620000003"/>
    <n v="5.8029999999999999"/>
    <n v="8.8000000000000007"/>
  </r>
  <r>
    <x v="993"/>
    <x v="2"/>
    <x v="2"/>
    <x v="1"/>
    <x v="1"/>
    <x v="5"/>
    <x v="937"/>
    <n v="10"/>
    <n v="8.7449999999999992"/>
    <n v="183.64500000000001"/>
    <x v="70"/>
    <d v="1899-12-30T18:35:00"/>
    <x v="0"/>
    <n v="174.9"/>
    <n v="4.7619047620000003"/>
    <n v="8.7449999999999992"/>
    <n v="6.6"/>
  </r>
  <r>
    <x v="994"/>
    <x v="1"/>
    <x v="1"/>
    <x v="0"/>
    <x v="0"/>
    <x v="1"/>
    <x v="534"/>
    <n v="1"/>
    <n v="3.0474999999999999"/>
    <n v="63.997500000000002"/>
    <x v="67"/>
    <d v="1899-12-30T11:40:00"/>
    <x v="0"/>
    <n v="60.95"/>
    <n v="4.7619047620000003"/>
    <n v="3.0474999999999999"/>
    <n v="5.9"/>
  </r>
  <r>
    <x v="995"/>
    <x v="1"/>
    <x v="1"/>
    <x v="1"/>
    <x v="1"/>
    <x v="0"/>
    <x v="938"/>
    <n v="1"/>
    <n v="2.0175000000000001"/>
    <n v="42.3675"/>
    <x v="71"/>
    <d v="1899-12-30T13:46:00"/>
    <x v="0"/>
    <n v="40.35"/>
    <n v="4.7619047620000003"/>
    <n v="2.0175000000000001"/>
    <n v="6.2"/>
  </r>
  <r>
    <x v="996"/>
    <x v="2"/>
    <x v="2"/>
    <x v="1"/>
    <x v="0"/>
    <x v="2"/>
    <x v="939"/>
    <n v="10"/>
    <n v="48.69"/>
    <n v="1022.49"/>
    <x v="22"/>
    <d v="1899-12-30T17:16:00"/>
    <x v="0"/>
    <n v="973.8"/>
    <n v="4.7619047620000003"/>
    <n v="48.69"/>
    <n v="4.4000000000000004"/>
  </r>
  <r>
    <x v="997"/>
    <x v="0"/>
    <x v="0"/>
    <x v="0"/>
    <x v="1"/>
    <x v="4"/>
    <x v="940"/>
    <n v="1"/>
    <n v="1.5920000000000001"/>
    <n v="33.432000000000002"/>
    <x v="57"/>
    <d v="1899-12-30T13:22:00"/>
    <x v="1"/>
    <n v="31.84"/>
    <n v="4.7619047620000003"/>
    <n v="1.5920000000000001"/>
    <n v="7.7"/>
  </r>
  <r>
    <x v="998"/>
    <x v="0"/>
    <x v="0"/>
    <x v="1"/>
    <x v="1"/>
    <x v="2"/>
    <x v="941"/>
    <n v="1"/>
    <n v="3.2909999999999999"/>
    <n v="69.111000000000004"/>
    <x v="70"/>
    <d v="1899-12-30T15:33:00"/>
    <x v="1"/>
    <n v="65.819999999999993"/>
    <n v="4.7619047620000003"/>
    <n v="3.2909999999999999"/>
    <n v="4.0999999999999996"/>
  </r>
  <r>
    <x v="999"/>
    <x v="0"/>
    <x v="0"/>
    <x v="0"/>
    <x v="0"/>
    <x v="5"/>
    <x v="942"/>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0C891-7BBE-451B-9723-FD9BF67F205B}"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A3:B25" firstHeaderRow="1" firstDataRow="1" firstDataCol="1"/>
  <pivotFields count="19">
    <pivotField showAll="0"/>
    <pivotField axis="axisRow" showAll="0">
      <items count="4">
        <item x="0"/>
        <item x="2"/>
        <item x="1"/>
        <item t="default"/>
      </items>
    </pivotField>
    <pivotField showAll="0">
      <items count="4">
        <item x="2"/>
        <item x="1"/>
        <item x="0"/>
        <item t="default"/>
      </items>
    </pivotField>
    <pivotField showAll="0"/>
    <pivotField showAll="0"/>
    <pivotField axis="axisRow" showAll="0">
      <items count="7">
        <item x="1"/>
        <item x="5"/>
        <item x="4"/>
        <item x="0"/>
        <item x="2"/>
        <item x="3"/>
        <item t="default"/>
      </items>
    </pivotField>
    <pivotField showAll="0"/>
    <pivotField showAll="0"/>
    <pivotField dataField="1"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pivotField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5"/>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Tax 5%" fld="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48F787-B3A3-4F9D-B877-1E01B92652BD}"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J3:K12" firstHeaderRow="1" firstDataRow="1" firstDataCol="1"/>
  <pivotFields count="19">
    <pivotField showAll="0"/>
    <pivotField showAll="0">
      <items count="4">
        <item h="1" x="0"/>
        <item h="1" x="2"/>
        <item x="1"/>
        <item t="default"/>
      </items>
    </pivotField>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pivotField showAll="0"/>
    <pivotField numFmtId="2"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3"/>
    <field x="18"/>
    <field x="17"/>
    <field x="10"/>
  </rowFields>
  <rowItems count="9">
    <i>
      <x/>
    </i>
    <i r="1">
      <x v="1"/>
    </i>
    <i r="1">
      <x v="2"/>
    </i>
    <i r="1">
      <x v="3"/>
    </i>
    <i>
      <x v="1"/>
    </i>
    <i r="1">
      <x v="1"/>
    </i>
    <i r="1">
      <x v="2"/>
    </i>
    <i r="1">
      <x v="3"/>
    </i>
    <i t="grand">
      <x/>
    </i>
  </rowItems>
  <colItems count="1">
    <i/>
  </colItems>
  <dataFields count="1">
    <dataField name="Sum of Total" fld="9" baseField="0" baseItem="0"/>
  </dataFields>
  <chartFormats count="3">
    <chartFormat chart="7"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FC5493-2BEB-49F6-A279-F5991A042A9A}"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0">
  <location ref="J35:K979"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axis="axisRow"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showAll="0"/>
    <pivotField dataField="1"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pivotField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9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t="grand">
      <x/>
    </i>
  </rowItems>
  <colItems count="1">
    <i/>
  </colItems>
  <dataFields count="1">
    <dataField name="Sum of Tax 5%"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9D4513-A9E3-445B-BC73-2D3C8B978C64}"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V9:W16" firstHeaderRow="1" firstDataRow="1" firstDataCol="1"/>
  <pivotFields count="19">
    <pivotField showAll="0"/>
    <pivotField axis="axisRow" showAll="0">
      <items count="4">
        <item x="0"/>
        <item x="2"/>
        <item x="1"/>
        <item t="default"/>
      </items>
    </pivotField>
    <pivotField axis="axisRow"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pivotField showAll="0"/>
    <pivotField numFmtId="2"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2"/>
  </rowFields>
  <rowItems count="7">
    <i>
      <x/>
    </i>
    <i r="1">
      <x v="2"/>
    </i>
    <i>
      <x v="1"/>
    </i>
    <i r="1">
      <x/>
    </i>
    <i>
      <x v="2"/>
    </i>
    <i r="1">
      <x v="1"/>
    </i>
    <i t="grand">
      <x/>
    </i>
  </rowItems>
  <colItems count="1">
    <i/>
  </colItems>
  <dataFields count="1">
    <dataField name="Sum of gross income" fld="15" baseField="0" baseItem="0"/>
  </dataFields>
  <chartFormats count="2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 chart="11" format="7">
      <pivotArea type="data" outline="0" fieldPosition="0">
        <references count="2">
          <reference field="4294967294" count="1" selected="0">
            <x v="0"/>
          </reference>
          <reference field="1"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 count="1" selected="0">
            <x v="0"/>
          </reference>
        </references>
      </pivotArea>
    </chartFormat>
    <chartFormat chart="12" format="10">
      <pivotArea type="data" outline="0" fieldPosition="0">
        <references count="2">
          <reference field="4294967294" count="1" selected="0">
            <x v="0"/>
          </reference>
          <reference field="1" count="1" selected="0">
            <x v="1"/>
          </reference>
        </references>
      </pivotArea>
    </chartFormat>
    <chartFormat chart="12" format="11">
      <pivotArea type="data" outline="0" fieldPosition="0">
        <references count="2">
          <reference field="4294967294" count="1" selected="0">
            <x v="0"/>
          </reference>
          <reference field="1"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 count="1" selected="0">
            <x v="0"/>
          </reference>
        </references>
      </pivotArea>
    </chartFormat>
    <chartFormat chart="13" format="10">
      <pivotArea type="data" outline="0" fieldPosition="0">
        <references count="2">
          <reference field="4294967294" count="1" selected="0">
            <x v="0"/>
          </reference>
          <reference field="1" count="1" selected="0">
            <x v="1"/>
          </reference>
        </references>
      </pivotArea>
    </chartFormat>
    <chartFormat chart="13" format="11">
      <pivotArea type="data" outline="0" fieldPosition="0">
        <references count="2">
          <reference field="4294967294" count="1" selected="0">
            <x v="0"/>
          </reference>
          <reference field="1" count="1" selected="0">
            <x v="2"/>
          </reference>
        </references>
      </pivotArea>
    </chartFormat>
    <chartFormat chart="13" format="12">
      <pivotArea type="data" outline="0" fieldPosition="0">
        <references count="3">
          <reference field="4294967294" count="1" selected="0">
            <x v="0"/>
          </reference>
          <reference field="1" count="1" selected="0">
            <x v="1"/>
          </reference>
          <reference field="2" count="1" selected="0">
            <x v="0"/>
          </reference>
        </references>
      </pivotArea>
    </chartFormat>
    <chartFormat chart="13" format="13">
      <pivotArea type="data" outline="0" fieldPosition="0">
        <references count="3">
          <reference field="4294967294" count="1" selected="0">
            <x v="0"/>
          </reference>
          <reference field="1" count="1" selected="0">
            <x v="2"/>
          </reference>
          <reference field="2" count="1" selected="0">
            <x v="1"/>
          </reference>
        </references>
      </pivotArea>
    </chartFormat>
    <chartFormat chart="4" format="4">
      <pivotArea type="data" outline="0" fieldPosition="0">
        <references count="3">
          <reference field="4294967294" count="1" selected="0">
            <x v="0"/>
          </reference>
          <reference field="1" count="1" selected="0">
            <x v="1"/>
          </reference>
          <reference field="2" count="1" selected="0">
            <x v="0"/>
          </reference>
        </references>
      </pivotArea>
    </chartFormat>
    <chartFormat chart="4" format="5">
      <pivotArea type="data" outline="0" fieldPosition="0">
        <references count="3">
          <reference field="4294967294" count="1" selected="0">
            <x v="0"/>
          </reference>
          <reference field="1" count="1" selected="0">
            <x v="2"/>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AA9636-ED11-4209-9EA3-20601D3746BC}"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AA6:AB19" firstHeaderRow="1" firstDataRow="1" firstDataCol="1"/>
  <pivotFields count="19">
    <pivotField showAll="0"/>
    <pivotField showAll="0">
      <items count="4">
        <item h="1" x="0"/>
        <item h="1"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axis="axisRow" showAll="0">
      <items count="4">
        <item x="1"/>
        <item x="2"/>
        <item x="0"/>
        <item t="default"/>
      </items>
    </pivotField>
    <pivotField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12"/>
    <field x="18"/>
  </rowFields>
  <rowItems count="13">
    <i>
      <x/>
    </i>
    <i r="1">
      <x v="1"/>
    </i>
    <i r="1">
      <x v="2"/>
    </i>
    <i r="1">
      <x v="3"/>
    </i>
    <i>
      <x v="1"/>
    </i>
    <i r="1">
      <x v="1"/>
    </i>
    <i r="1">
      <x v="2"/>
    </i>
    <i r="1">
      <x v="3"/>
    </i>
    <i>
      <x v="2"/>
    </i>
    <i r="1">
      <x v="1"/>
    </i>
    <i r="1">
      <x v="2"/>
    </i>
    <i r="1">
      <x v="3"/>
    </i>
    <i t="grand">
      <x/>
    </i>
  </rowItems>
  <colItems count="1">
    <i/>
  </colItems>
  <dataFields count="1">
    <dataField name="Sum of Total" fld="9" baseField="0" baseItem="0"/>
  </dataFields>
  <chartFormats count="5">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26C7C3-A9F9-4323-A1B1-1CB2A2AC4AA8}"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0">
  <location ref="F3:G10" firstHeaderRow="1" firstDataRow="1" firstDataCol="1"/>
  <pivotFields count="19">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pivotField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3"/>
    <field x="4"/>
  </rowFields>
  <rowItems count="7">
    <i>
      <x/>
    </i>
    <i r="1">
      <x/>
    </i>
    <i r="1">
      <x v="1"/>
    </i>
    <i>
      <x v="1"/>
    </i>
    <i r="1">
      <x/>
    </i>
    <i r="1">
      <x v="1"/>
    </i>
    <i t="grand">
      <x/>
    </i>
  </rowItems>
  <colItems count="1">
    <i/>
  </colItems>
  <dataFields count="1">
    <dataField name="Sum of Total" fld="9" baseField="0" baseItem="0"/>
  </dataFields>
  <chartFormats count="9">
    <chartFormat chart="6"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01A818-0184-4FDB-B9EA-79C57CEFFF7B}"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H16:I29" firstHeaderRow="1" firstDataRow="1" firstDataCol="1"/>
  <pivotFields count="19">
    <pivotField showAll="0"/>
    <pivotField showAll="0">
      <items count="4">
        <item h="1" x="0"/>
        <item h="1"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axis="axisRow" showAll="0">
      <items count="4">
        <item x="1"/>
        <item x="2"/>
        <item x="0"/>
        <item t="default"/>
      </items>
    </pivotField>
    <pivotField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12"/>
    <field x="18"/>
  </rowFields>
  <rowItems count="13">
    <i>
      <x/>
    </i>
    <i r="1">
      <x v="1"/>
    </i>
    <i r="1">
      <x v="2"/>
    </i>
    <i r="1">
      <x v="3"/>
    </i>
    <i>
      <x v="1"/>
    </i>
    <i r="1">
      <x v="1"/>
    </i>
    <i r="1">
      <x v="2"/>
    </i>
    <i r="1">
      <x v="3"/>
    </i>
    <i>
      <x v="2"/>
    </i>
    <i r="1">
      <x v="1"/>
    </i>
    <i r="1">
      <x v="2"/>
    </i>
    <i r="1">
      <x v="3"/>
    </i>
    <i t="grand">
      <x/>
    </i>
  </rowItems>
  <colItems count="1">
    <i/>
  </colItems>
  <dataFields count="1">
    <dataField name="Sum of Total" fld="9" baseField="0" baseItem="0"/>
  </dataFields>
  <chartFormats count="5">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3137D9-BA2A-4A87-95F9-7C6C56E11424}"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P3:Q10" firstHeaderRow="1" firstDataRow="1" firstDataCol="1"/>
  <pivotFields count="19">
    <pivotField showAll="0"/>
    <pivotField axis="axisRow" showAll="0">
      <items count="4">
        <item x="0"/>
        <item x="2"/>
        <item x="1"/>
        <item t="default"/>
      </items>
    </pivotField>
    <pivotField axis="axisRow"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pivotField showAll="0"/>
    <pivotField numFmtId="2"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2"/>
  </rowFields>
  <rowItems count="7">
    <i>
      <x/>
    </i>
    <i r="1">
      <x v="2"/>
    </i>
    <i>
      <x v="1"/>
    </i>
    <i r="1">
      <x/>
    </i>
    <i>
      <x v="2"/>
    </i>
    <i r="1">
      <x v="1"/>
    </i>
    <i t="grand">
      <x/>
    </i>
  </rowItems>
  <colItems count="1">
    <i/>
  </colItems>
  <dataFields count="1">
    <dataField name="Sum of gross income" fld="15" baseField="0" baseItem="0"/>
  </dataFields>
  <chartFormats count="2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 chart="11" format="7">
      <pivotArea type="data" outline="0" fieldPosition="0">
        <references count="2">
          <reference field="4294967294" count="1" selected="0">
            <x v="0"/>
          </reference>
          <reference field="1"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 count="1" selected="0">
            <x v="0"/>
          </reference>
        </references>
      </pivotArea>
    </chartFormat>
    <chartFormat chart="12" format="10">
      <pivotArea type="data" outline="0" fieldPosition="0">
        <references count="2">
          <reference field="4294967294" count="1" selected="0">
            <x v="0"/>
          </reference>
          <reference field="1" count="1" selected="0">
            <x v="1"/>
          </reference>
        </references>
      </pivotArea>
    </chartFormat>
    <chartFormat chart="12" format="11">
      <pivotArea type="data" outline="0" fieldPosition="0">
        <references count="2">
          <reference field="4294967294" count="1" selected="0">
            <x v="0"/>
          </reference>
          <reference field="1"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 count="1" selected="0">
            <x v="0"/>
          </reference>
        </references>
      </pivotArea>
    </chartFormat>
    <chartFormat chart="13" format="10">
      <pivotArea type="data" outline="0" fieldPosition="0">
        <references count="2">
          <reference field="4294967294" count="1" selected="0">
            <x v="0"/>
          </reference>
          <reference field="1" count="1" selected="0">
            <x v="1"/>
          </reference>
        </references>
      </pivotArea>
    </chartFormat>
    <chartFormat chart="13" format="11">
      <pivotArea type="data" outline="0" fieldPosition="0">
        <references count="2">
          <reference field="4294967294" count="1" selected="0">
            <x v="0"/>
          </reference>
          <reference field="1" count="1" selected="0">
            <x v="2"/>
          </reference>
        </references>
      </pivotArea>
    </chartFormat>
    <chartFormat chart="13" format="12">
      <pivotArea type="data" outline="0" fieldPosition="0">
        <references count="3">
          <reference field="4294967294" count="1" selected="0">
            <x v="0"/>
          </reference>
          <reference field="1" count="1" selected="0">
            <x v="1"/>
          </reference>
          <reference field="2" count="1" selected="0">
            <x v="0"/>
          </reference>
        </references>
      </pivotArea>
    </chartFormat>
    <chartFormat chart="13" format="13">
      <pivotArea type="data" outline="0" fieldPosition="0">
        <references count="3">
          <reference field="4294967294" count="1" selected="0">
            <x v="0"/>
          </reference>
          <reference field="1" count="1" selected="0">
            <x v="2"/>
          </reference>
          <reference field="2" count="1" selected="0">
            <x v="1"/>
          </reference>
        </references>
      </pivotArea>
    </chartFormat>
    <chartFormat chart="4" format="4">
      <pivotArea type="data" outline="0" fieldPosition="0">
        <references count="3">
          <reference field="4294967294" count="1" selected="0">
            <x v="0"/>
          </reference>
          <reference field="1" count="1" selected="0">
            <x v="1"/>
          </reference>
          <reference field="2" count="1" selected="0">
            <x v="0"/>
          </reference>
        </references>
      </pivotArea>
    </chartFormat>
    <chartFormat chart="4" format="5">
      <pivotArea type="data" outline="0" fieldPosition="0">
        <references count="3">
          <reference field="4294967294" count="1" selected="0">
            <x v="0"/>
          </reference>
          <reference field="1" count="1" selected="0">
            <x v="2"/>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4660C5-2A29-4F67-A210-EDAD612A9B9E}"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J3:K12" firstHeaderRow="1" firstDataRow="1" firstDataCol="1"/>
  <pivotFields count="19">
    <pivotField showAll="0"/>
    <pivotField showAll="0">
      <items count="4">
        <item h="1" x="0"/>
        <item h="1" x="2"/>
        <item x="1"/>
        <item t="default"/>
      </items>
    </pivotField>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pivotField showAll="0"/>
    <pivotField numFmtId="2"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3"/>
    <field x="18"/>
    <field x="17"/>
    <field x="10"/>
  </rowFields>
  <rowItems count="9">
    <i>
      <x/>
    </i>
    <i r="1">
      <x v="1"/>
    </i>
    <i r="1">
      <x v="2"/>
    </i>
    <i r="1">
      <x v="3"/>
    </i>
    <i>
      <x v="1"/>
    </i>
    <i r="1">
      <x v="1"/>
    </i>
    <i r="1">
      <x v="2"/>
    </i>
    <i r="1">
      <x v="3"/>
    </i>
    <i t="grand">
      <x/>
    </i>
  </rowItems>
  <colItems count="1">
    <i/>
  </colItems>
  <dataFields count="1">
    <dataField name="Sum of Total" fld="9" baseField="0" baseItem="0"/>
  </dataFields>
  <chartFormats count="3">
    <chartFormat chart="7"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990CC3-F6AB-43CE-8619-6C08B5B17612}"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0">
  <location ref="E3:F10" firstHeaderRow="1" firstDataRow="1" firstDataCol="1"/>
  <pivotFields count="19">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pivotField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3"/>
    <field x="4"/>
  </rowFields>
  <rowItems count="7">
    <i>
      <x/>
    </i>
    <i r="1">
      <x/>
    </i>
    <i r="1">
      <x v="1"/>
    </i>
    <i>
      <x v="1"/>
    </i>
    <i r="1">
      <x/>
    </i>
    <i r="1">
      <x v="1"/>
    </i>
    <i t="grand">
      <x/>
    </i>
  </rowItems>
  <colItems count="1">
    <i/>
  </colItems>
  <dataFields count="1">
    <dataField name="Sum of Total" fld="9" baseField="0" baseItem="0"/>
  </dataFields>
  <chartFormats count="9">
    <chartFormat chart="6"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2F3945-48CB-4BA8-AFEA-EE07D6342D17}"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B3:C25" firstHeaderRow="1" firstDataRow="1" firstDataCol="1"/>
  <pivotFields count="19">
    <pivotField showAll="0"/>
    <pivotField axis="axisRow" showAll="0">
      <items count="4">
        <item x="0"/>
        <item x="2"/>
        <item x="1"/>
        <item t="default"/>
      </items>
    </pivotField>
    <pivotField showAll="0">
      <items count="4">
        <item x="2"/>
        <item x="1"/>
        <item x="0"/>
        <item t="default"/>
      </items>
    </pivotField>
    <pivotField showAll="0"/>
    <pivotField showAll="0"/>
    <pivotField axis="axisRow" showAll="0">
      <items count="7">
        <item x="1"/>
        <item x="5"/>
        <item x="4"/>
        <item x="0"/>
        <item x="2"/>
        <item x="3"/>
        <item t="default"/>
      </items>
    </pivotField>
    <pivotField showAll="0"/>
    <pivotField showAll="0"/>
    <pivotField dataField="1"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pivotField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5"/>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Tax 5%" fld="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AB6A41B-ABAE-40CA-9A2A-4916179320A3}" sourceName="City">
  <pivotTables>
    <pivotTable tabId="2" name="PivotTable1"/>
    <pivotTable tabId="2" name="PivotTable4"/>
    <pivotTable tabId="2" name="PivotTable5"/>
    <pivotTable tabId="2" name="PivotTable3"/>
    <pivotTable tabId="4" name="PivotTable1"/>
    <pivotTable tabId="4" name="PivotTable3"/>
    <pivotTable tabId="4" name="PivotTable5"/>
  </pivotTables>
  <data>
    <tabular pivotCacheId="109079216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23F4A572-FFDF-43CE-8E67-AACF3BC40167}" sourceName="Branch">
  <pivotTables>
    <pivotTable tabId="2" name="PivotTable2"/>
    <pivotTable tabId="2" name="PivotTable1"/>
    <pivotTable tabId="2" name="PivotTable3"/>
    <pivotTable tabId="4" name="PivotTable1"/>
    <pivotTable tabId="4" name="PivotTable2"/>
  </pivotTables>
  <data>
    <tabular pivotCacheId="109079216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1034BC0-0C96-4B1D-A131-7EDBDA322A58}" sourceName="Date">
  <pivotTables>
    <pivotTable tabId="2" name="PivotTable4"/>
    <pivotTable tabId="2" name="PivotTable6"/>
    <pivotTable tabId="2" name="PivotTable1"/>
    <pivotTable tabId="2" name="PivotTable2"/>
    <pivotTable tabId="2" name="PivotTable5"/>
    <pivotTable tabId="4" name="PivotTable1"/>
    <pivotTable tabId="4" name="PivotTable2"/>
    <pivotTable tabId="4" name="PivotTable3"/>
    <pivotTable tabId="4" name="PivotTable4"/>
    <pivotTable tabId="4" name="PivotTable5"/>
  </pivotTables>
  <data>
    <tabular pivotCacheId="1090792164">
      <items count="89">
        <i x="17" s="1"/>
        <i x="56" s="1"/>
        <i x="75" s="1"/>
        <i x="72" s="1"/>
        <i x="0" s="1"/>
        <i x="47" s="1"/>
        <i x="27" s="1"/>
        <i x="66" s="1"/>
        <i x="51" s="1"/>
        <i x="8" s="1"/>
        <i x="83" s="1"/>
        <i x="52" s="1"/>
        <i x="50" s="1"/>
        <i x="78" s="1"/>
        <i x="15" s="1"/>
        <i x="65" s="1"/>
        <i x="29" s="1"/>
        <i x="68" s="1"/>
        <i x="64" s="1"/>
        <i x="40" s="1"/>
        <i x="18" s="1"/>
        <i x="49" s="1"/>
        <i x="54" s="1"/>
        <i x="46" s="1"/>
        <i x="25" s="1"/>
        <i x="53" s="1"/>
        <i x="3" s="1"/>
        <i x="26" s="1"/>
        <i x="71" s="1"/>
        <i x="74" s="1"/>
        <i x="82" s="1"/>
        <i x="60" s="1"/>
        <i x="30" s="1"/>
        <i x="36" s="1"/>
        <i x="87" s="1"/>
        <i x="63" s="1"/>
        <i x="10" s="1"/>
        <i x="13" s="1"/>
        <i x="4" s="1"/>
        <i x="57" s="1"/>
        <i x="34" s="1"/>
        <i x="48" s="1"/>
        <i x="12" s="1"/>
        <i x="77" s="1"/>
        <i x="44" s="1"/>
        <i x="42" s="1"/>
        <i x="69" s="1"/>
        <i x="21" s="1"/>
        <i x="67" s="1"/>
        <i x="88" s="1"/>
        <i x="9" s="1"/>
        <i x="81" s="1"/>
        <i x="70" s="1"/>
        <i x="55" s="1"/>
        <i x="7" s="1"/>
        <i x="6" s="1"/>
        <i x="84" s="1"/>
        <i x="33" s="1"/>
        <i x="38" s="1"/>
        <i x="59" s="1"/>
        <i x="22" s="1"/>
        <i x="2" s="1"/>
        <i x="31" s="1"/>
        <i x="19" s="1"/>
        <i x="43" s="1"/>
        <i x="37" s="1"/>
        <i x="1" s="1"/>
        <i x="11" s="1"/>
        <i x="24" s="1"/>
        <i x="16" s="1"/>
        <i x="41" s="1"/>
        <i x="45" s="1"/>
        <i x="86" s="1"/>
        <i x="20" s="1"/>
        <i x="32" s="1"/>
        <i x="85" s="1"/>
        <i x="79" s="1"/>
        <i x="35" s="1"/>
        <i x="80" s="1"/>
        <i x="76" s="1"/>
        <i x="23" s="1"/>
        <i x="28" s="1"/>
        <i x="62" s="1"/>
        <i x="5" s="1"/>
        <i x="58" s="1"/>
        <i x="39" s="1"/>
        <i x="61" s="1"/>
        <i x="14" s="1"/>
        <i x="7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9D99444-4D71-4B4E-A711-41E7C52CFE77}" cache="Slicer_City" caption="City" rowHeight="234950"/>
  <slicer name="Branch" xr10:uid="{6E62FA0B-BA8F-449B-B0D5-937655F4356F}" cache="Slicer_Branch" caption="Branch" rowHeight="234950"/>
  <slicer name="Date" xr10:uid="{64F66285-2C80-4E9F-9264-BBBDDF4EF011}" cache="Slicer_Date" caption="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FF06EC6D-2F3C-4FE3-B72B-3B0CF45BC2A0}" cache="Slicer_City" caption="City" rowHeight="234950"/>
  <slicer name="Branch 2" xr10:uid="{5D35A0DA-A9E1-407E-8D9A-FB16E9D6B385}" cache="Slicer_Branch" caption="Branc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1BB8448A-85EE-4959-B7D9-24F9A86FD195}" cache="Slicer_City" caption="City" rowHeight="234950"/>
  <slicer name="Branch 1" xr10:uid="{4C38D8B1-155C-49CC-A408-3606552DDC25}" cache="Slicer_Branch" caption="Branch" rowHeight="234950"/>
  <slicer name="Date 1" xr10:uid="{6C6AAD45-B5A5-4A79-AA96-F36F350BC0FF}" cache="Slicer_Date" cap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9E9B-F94F-401F-B717-10EBAA980302}">
  <dimension ref="A2:AD979"/>
  <sheetViews>
    <sheetView topLeftCell="B1" zoomScale="61" zoomScaleNormal="100" workbookViewId="0">
      <selection activeCell="Q39" sqref="Q39"/>
    </sheetView>
  </sheetViews>
  <sheetFormatPr defaultRowHeight="14.4" x14ac:dyDescent="0.3"/>
  <cols>
    <col min="1" max="1" width="25.88671875" bestFit="1" customWidth="1"/>
    <col min="2" max="2" width="18.6640625" bestFit="1" customWidth="1"/>
    <col min="6" max="6" width="18" bestFit="1" customWidth="1"/>
    <col min="7" max="7" width="16.109375" bestFit="1" customWidth="1"/>
    <col min="8" max="9" width="11.6640625" bestFit="1" customWidth="1"/>
    <col min="10" max="10" width="18" bestFit="1" customWidth="1"/>
    <col min="11" max="11" width="18.6640625" bestFit="1" customWidth="1"/>
    <col min="12" max="12" width="14.88671875" bestFit="1" customWidth="1"/>
    <col min="22" max="22" width="18" bestFit="1" customWidth="1"/>
    <col min="23" max="23" width="25.77734375" bestFit="1" customWidth="1"/>
    <col min="27" max="27" width="18" bestFit="1" customWidth="1"/>
    <col min="28" max="28" width="16.109375" bestFit="1" customWidth="1"/>
    <col min="29" max="29" width="14.88671875" bestFit="1" customWidth="1"/>
  </cols>
  <sheetData>
    <row r="2" spans="1:30" ht="18" x14ac:dyDescent="0.3">
      <c r="A2">
        <v>1</v>
      </c>
      <c r="J2">
        <v>3</v>
      </c>
      <c r="O2" s="8"/>
      <c r="T2" s="8"/>
    </row>
    <row r="3" spans="1:30" ht="18" x14ac:dyDescent="0.3">
      <c r="A3" s="4" t="s">
        <v>1036</v>
      </c>
      <c r="B3" t="s">
        <v>1038</v>
      </c>
      <c r="E3">
        <v>2</v>
      </c>
      <c r="F3" s="4" t="s">
        <v>1036</v>
      </c>
      <c r="G3" t="s">
        <v>1039</v>
      </c>
      <c r="J3" s="4" t="s">
        <v>1036</v>
      </c>
      <c r="K3" t="s">
        <v>1039</v>
      </c>
      <c r="AD3" s="8"/>
    </row>
    <row r="4" spans="1:30" x14ac:dyDescent="0.3">
      <c r="A4" s="5" t="s">
        <v>18</v>
      </c>
      <c r="B4">
        <v>5057.1605</v>
      </c>
      <c r="F4" s="5" t="s">
        <v>20</v>
      </c>
      <c r="G4">
        <v>164223.4439999999</v>
      </c>
      <c r="J4" s="5" t="s">
        <v>20</v>
      </c>
      <c r="K4">
        <v>164223.44400000002</v>
      </c>
      <c r="O4" s="7"/>
      <c r="T4" s="7"/>
    </row>
    <row r="5" spans="1:30" x14ac:dyDescent="0.3">
      <c r="A5" s="6" t="s">
        <v>28</v>
      </c>
      <c r="B5">
        <v>872.24350000000015</v>
      </c>
      <c r="F5" s="6" t="s">
        <v>21</v>
      </c>
      <c r="G5">
        <v>88146.943499999965</v>
      </c>
      <c r="J5" s="6" t="s">
        <v>1040</v>
      </c>
      <c r="K5">
        <v>57914.829000000005</v>
      </c>
      <c r="T5" s="7"/>
      <c r="AD5" s="7"/>
    </row>
    <row r="6" spans="1:30" x14ac:dyDescent="0.3">
      <c r="A6" s="6" t="s">
        <v>46</v>
      </c>
      <c r="B6">
        <v>777.73850000000016</v>
      </c>
      <c r="F6" s="6" t="s">
        <v>31</v>
      </c>
      <c r="G6">
        <v>76076.500499999951</v>
      </c>
      <c r="J6" s="6" t="s">
        <v>1041</v>
      </c>
      <c r="K6">
        <v>50296.049999999988</v>
      </c>
      <c r="T6" s="7"/>
      <c r="Z6">
        <v>5</v>
      </c>
      <c r="AA6" s="4" t="s">
        <v>1036</v>
      </c>
      <c r="AB6" t="s">
        <v>1039</v>
      </c>
      <c r="AD6" s="7"/>
    </row>
    <row r="7" spans="1:30" x14ac:dyDescent="0.3">
      <c r="A7" s="6" t="s">
        <v>44</v>
      </c>
      <c r="B7">
        <v>817.29049999999995</v>
      </c>
      <c r="F7" s="5" t="s">
        <v>27</v>
      </c>
      <c r="G7">
        <v>158743.30499999999</v>
      </c>
      <c r="J7" s="6" t="s">
        <v>1042</v>
      </c>
      <c r="K7">
        <v>56012.565000000017</v>
      </c>
      <c r="AA7" s="5" t="s">
        <v>29</v>
      </c>
      <c r="AB7">
        <v>112206.56999999998</v>
      </c>
      <c r="AD7" s="9"/>
    </row>
    <row r="8" spans="1:30" x14ac:dyDescent="0.3">
      <c r="A8" s="6" t="s">
        <v>22</v>
      </c>
      <c r="B8">
        <v>599.89300000000003</v>
      </c>
      <c r="F8" s="6" t="s">
        <v>21</v>
      </c>
      <c r="G8">
        <v>79735.98149999998</v>
      </c>
      <c r="J8" s="5" t="s">
        <v>27</v>
      </c>
      <c r="K8">
        <v>158743.30499999999</v>
      </c>
      <c r="AA8" s="6" t="s">
        <v>1040</v>
      </c>
      <c r="AB8">
        <v>41770.081499999993</v>
      </c>
      <c r="AD8" s="9"/>
    </row>
    <row r="9" spans="1:30" x14ac:dyDescent="0.3">
      <c r="A9" s="6" t="s">
        <v>32</v>
      </c>
      <c r="B9">
        <v>1067.4854999999998</v>
      </c>
      <c r="F9" s="6" t="s">
        <v>31</v>
      </c>
      <c r="G9">
        <v>79007.323499999999</v>
      </c>
      <c r="J9" s="6" t="s">
        <v>1040</v>
      </c>
      <c r="K9">
        <v>58377.039000000012</v>
      </c>
      <c r="U9">
        <v>4</v>
      </c>
      <c r="V9" s="4" t="s">
        <v>1036</v>
      </c>
      <c r="W9" t="s">
        <v>1043</v>
      </c>
      <c r="AA9" s="6" t="s">
        <v>1041</v>
      </c>
      <c r="AB9">
        <v>35746.336499999998</v>
      </c>
      <c r="AD9" s="9"/>
    </row>
    <row r="10" spans="1:30" x14ac:dyDescent="0.3">
      <c r="A10" s="6" t="s">
        <v>36</v>
      </c>
      <c r="B10">
        <v>922.5095</v>
      </c>
      <c r="F10" s="5" t="s">
        <v>1037</v>
      </c>
      <c r="G10">
        <v>322966.74899999989</v>
      </c>
      <c r="J10" s="6" t="s">
        <v>1041</v>
      </c>
      <c r="K10">
        <v>46923.323999999993</v>
      </c>
      <c r="V10" s="5" t="s">
        <v>18</v>
      </c>
      <c r="W10">
        <v>5057.1605000000018</v>
      </c>
      <c r="AA10" s="6" t="s">
        <v>1042</v>
      </c>
      <c r="AB10">
        <v>34690.151999999987</v>
      </c>
      <c r="AD10" s="9"/>
    </row>
    <row r="11" spans="1:30" x14ac:dyDescent="0.3">
      <c r="A11" s="5" t="s">
        <v>42</v>
      </c>
      <c r="B11">
        <v>5057.0319999999992</v>
      </c>
      <c r="J11" s="6" t="s">
        <v>1042</v>
      </c>
      <c r="K11">
        <v>53442.941999999974</v>
      </c>
      <c r="V11" s="6" t="s">
        <v>19</v>
      </c>
      <c r="W11">
        <v>5057.1605000000018</v>
      </c>
      <c r="AA11" s="5" t="s">
        <v>33</v>
      </c>
      <c r="AB11">
        <v>100767.07200000001</v>
      </c>
      <c r="AD11" s="9"/>
    </row>
    <row r="12" spans="1:30" x14ac:dyDescent="0.3">
      <c r="A12" s="6" t="s">
        <v>28</v>
      </c>
      <c r="B12">
        <v>811.97350000000006</v>
      </c>
      <c r="J12" s="5" t="s">
        <v>1037</v>
      </c>
      <c r="K12">
        <v>322966.74900000001</v>
      </c>
      <c r="V12" s="5" t="s">
        <v>42</v>
      </c>
      <c r="W12">
        <v>5057.0320000000029</v>
      </c>
      <c r="AA12" s="6" t="s">
        <v>1040</v>
      </c>
      <c r="AB12">
        <v>38246.575500000014</v>
      </c>
      <c r="AD12" s="9"/>
    </row>
    <row r="13" spans="1:30" x14ac:dyDescent="0.3">
      <c r="A13" s="6" t="s">
        <v>46</v>
      </c>
      <c r="B13">
        <v>781.58649999999989</v>
      </c>
      <c r="V13" s="6" t="s">
        <v>43</v>
      </c>
      <c r="W13">
        <v>5057.0320000000029</v>
      </c>
      <c r="AA13" s="6" t="s">
        <v>1041</v>
      </c>
      <c r="AB13">
        <v>31360.024500000007</v>
      </c>
    </row>
    <row r="14" spans="1:30" x14ac:dyDescent="0.3">
      <c r="A14" s="6" t="s">
        <v>44</v>
      </c>
      <c r="B14">
        <v>724.5184999999999</v>
      </c>
      <c r="V14" s="5" t="s">
        <v>25</v>
      </c>
      <c r="W14">
        <v>5265.1765000000023</v>
      </c>
      <c r="AA14" s="6" t="s">
        <v>1042</v>
      </c>
      <c r="AB14">
        <v>31160.471999999991</v>
      </c>
    </row>
    <row r="15" spans="1:30" x14ac:dyDescent="0.3">
      <c r="A15" s="6" t="s">
        <v>22</v>
      </c>
      <c r="B15">
        <v>951.45999999999992</v>
      </c>
      <c r="V15" s="6" t="s">
        <v>26</v>
      </c>
      <c r="W15">
        <v>5265.1765000000023</v>
      </c>
      <c r="AA15" s="5" t="s">
        <v>23</v>
      </c>
      <c r="AB15">
        <v>109993.10699999997</v>
      </c>
    </row>
    <row r="16" spans="1:30" x14ac:dyDescent="0.3">
      <c r="A16" s="6" t="s">
        <v>32</v>
      </c>
      <c r="B16">
        <v>835.67450000000008</v>
      </c>
      <c r="V16" s="5" t="s">
        <v>1037</v>
      </c>
      <c r="W16">
        <v>15379.369000000006</v>
      </c>
      <c r="AA16" s="6" t="s">
        <v>1040</v>
      </c>
      <c r="AB16">
        <v>36275.210999999981</v>
      </c>
    </row>
    <row r="17" spans="1:28" x14ac:dyDescent="0.3">
      <c r="A17" s="6" t="s">
        <v>36</v>
      </c>
      <c r="B17">
        <v>951.81899999999973</v>
      </c>
      <c r="AA17" s="6" t="s">
        <v>1041</v>
      </c>
      <c r="AB17">
        <v>30113.013000000003</v>
      </c>
    </row>
    <row r="18" spans="1:28" x14ac:dyDescent="0.3">
      <c r="A18" s="5" t="s">
        <v>25</v>
      </c>
      <c r="B18">
        <v>5265.1765000000005</v>
      </c>
      <c r="AA18" s="6" t="s">
        <v>1042</v>
      </c>
      <c r="AB18">
        <v>43604.882999999987</v>
      </c>
    </row>
    <row r="19" spans="1:28" x14ac:dyDescent="0.3">
      <c r="A19" s="6" t="s">
        <v>28</v>
      </c>
      <c r="B19">
        <v>903.28449999999987</v>
      </c>
      <c r="AA19" s="5" t="s">
        <v>1037</v>
      </c>
      <c r="AB19">
        <v>322966.74899999989</v>
      </c>
    </row>
    <row r="20" spans="1:28" x14ac:dyDescent="0.3">
      <c r="A20" s="6" t="s">
        <v>46</v>
      </c>
      <c r="B20">
        <v>1026.67</v>
      </c>
    </row>
    <row r="21" spans="1:28" x14ac:dyDescent="0.3">
      <c r="A21" s="6" t="s">
        <v>44</v>
      </c>
      <c r="B21">
        <v>1131.7549999999999</v>
      </c>
    </row>
    <row r="22" spans="1:28" x14ac:dyDescent="0.3">
      <c r="A22" s="6" t="s">
        <v>22</v>
      </c>
      <c r="B22">
        <v>791.20600000000002</v>
      </c>
    </row>
    <row r="23" spans="1:28" x14ac:dyDescent="0.3">
      <c r="A23" s="6" t="s">
        <v>32</v>
      </c>
      <c r="B23">
        <v>661.69300000000021</v>
      </c>
    </row>
    <row r="24" spans="1:28" x14ac:dyDescent="0.3">
      <c r="A24" s="6" t="s">
        <v>36</v>
      </c>
      <c r="B24">
        <v>750.56800000000032</v>
      </c>
    </row>
    <row r="25" spans="1:28" x14ac:dyDescent="0.3">
      <c r="A25" s="5" t="s">
        <v>1037</v>
      </c>
      <c r="B25">
        <v>15379.368999999997</v>
      </c>
    </row>
    <row r="28" spans="1:28" ht="18" x14ac:dyDescent="0.3">
      <c r="A28" s="8"/>
      <c r="E28" s="8"/>
    </row>
    <row r="30" spans="1:28" x14ac:dyDescent="0.3">
      <c r="A30" s="7"/>
      <c r="E30" s="7"/>
    </row>
    <row r="32" spans="1:28" x14ac:dyDescent="0.3">
      <c r="A32" s="9"/>
    </row>
    <row r="33" spans="1:16" x14ac:dyDescent="0.3">
      <c r="A33" s="9"/>
    </row>
    <row r="34" spans="1:16" x14ac:dyDescent="0.3">
      <c r="A34" s="9"/>
    </row>
    <row r="35" spans="1:16" x14ac:dyDescent="0.3">
      <c r="A35" s="9"/>
      <c r="J35" s="4" t="s">
        <v>1036</v>
      </c>
      <c r="K35" t="s">
        <v>1038</v>
      </c>
    </row>
    <row r="36" spans="1:16" x14ac:dyDescent="0.3">
      <c r="J36" s="5">
        <v>10.08</v>
      </c>
      <c r="K36">
        <v>3.528</v>
      </c>
      <c r="N36">
        <f>SUM(K36:K978)</f>
        <v>15379.369000000006</v>
      </c>
    </row>
    <row r="37" spans="1:16" x14ac:dyDescent="0.3">
      <c r="J37" s="5">
        <v>10.130000000000001</v>
      </c>
      <c r="K37">
        <v>3.5455000000000001</v>
      </c>
    </row>
    <row r="38" spans="1:16" x14ac:dyDescent="0.3">
      <c r="J38" s="5">
        <v>10.16</v>
      </c>
      <c r="K38">
        <v>2.54</v>
      </c>
    </row>
    <row r="39" spans="1:16" x14ac:dyDescent="0.3">
      <c r="J39" s="5">
        <v>10.17</v>
      </c>
      <c r="K39">
        <v>0.50849999999999995</v>
      </c>
    </row>
    <row r="40" spans="1:16" x14ac:dyDescent="0.3">
      <c r="J40" s="5">
        <v>10.18</v>
      </c>
      <c r="K40">
        <v>4.0720000000000001</v>
      </c>
      <c r="P40" t="s">
        <v>1045</v>
      </c>
    </row>
    <row r="41" spans="1:16" x14ac:dyDescent="0.3">
      <c r="J41" s="5">
        <v>10.53</v>
      </c>
      <c r="K41">
        <v>2.6324999999999998</v>
      </c>
    </row>
    <row r="42" spans="1:16" x14ac:dyDescent="0.3">
      <c r="J42" s="5">
        <v>10.56</v>
      </c>
      <c r="K42">
        <v>4.2240000000000002</v>
      </c>
    </row>
    <row r="43" spans="1:16" x14ac:dyDescent="0.3">
      <c r="J43" s="5">
        <v>10.59</v>
      </c>
      <c r="K43">
        <v>1.5885</v>
      </c>
    </row>
    <row r="44" spans="1:16" x14ac:dyDescent="0.3">
      <c r="J44" s="5">
        <v>10.69</v>
      </c>
      <c r="K44">
        <v>2.6724999999999999</v>
      </c>
    </row>
    <row r="45" spans="1:16" x14ac:dyDescent="0.3">
      <c r="J45" s="5">
        <v>10.75</v>
      </c>
      <c r="K45">
        <v>4.3</v>
      </c>
    </row>
    <row r="46" spans="1:16" x14ac:dyDescent="0.3">
      <c r="J46" s="5">
        <v>10.96</v>
      </c>
      <c r="K46">
        <v>5.48</v>
      </c>
    </row>
    <row r="47" spans="1:16" x14ac:dyDescent="0.3">
      <c r="J47" s="5">
        <v>10.99</v>
      </c>
      <c r="K47">
        <v>2.7475000000000001</v>
      </c>
    </row>
    <row r="48" spans="1:16" x14ac:dyDescent="0.3">
      <c r="J48" s="5">
        <v>11.28</v>
      </c>
      <c r="K48">
        <v>5.0759999999999996</v>
      </c>
    </row>
    <row r="49" spans="10:11" x14ac:dyDescent="0.3">
      <c r="J49" s="5">
        <v>11.43</v>
      </c>
      <c r="K49">
        <v>3.4289999999999998</v>
      </c>
    </row>
    <row r="50" spans="10:11" x14ac:dyDescent="0.3">
      <c r="J50" s="5">
        <v>11.53</v>
      </c>
      <c r="K50">
        <v>4.0354999999999999</v>
      </c>
    </row>
    <row r="51" spans="10:11" x14ac:dyDescent="0.3">
      <c r="J51" s="5">
        <v>11.81</v>
      </c>
      <c r="K51">
        <v>2.9525000000000001</v>
      </c>
    </row>
    <row r="52" spans="10:11" x14ac:dyDescent="0.3">
      <c r="J52" s="5">
        <v>11.85</v>
      </c>
      <c r="K52">
        <v>4.74</v>
      </c>
    </row>
    <row r="53" spans="10:11" x14ac:dyDescent="0.3">
      <c r="J53" s="5">
        <v>11.94</v>
      </c>
      <c r="K53">
        <v>1.7909999999999999</v>
      </c>
    </row>
    <row r="54" spans="10:11" x14ac:dyDescent="0.3">
      <c r="J54" s="5">
        <v>12.03</v>
      </c>
      <c r="K54">
        <v>1.2030000000000001</v>
      </c>
    </row>
    <row r="55" spans="10:11" x14ac:dyDescent="0.3">
      <c r="J55" s="5">
        <v>12.05</v>
      </c>
      <c r="K55">
        <v>3.0125000000000002</v>
      </c>
    </row>
    <row r="56" spans="10:11" x14ac:dyDescent="0.3">
      <c r="J56" s="5">
        <v>12.09</v>
      </c>
      <c r="K56">
        <v>0.60450000000000004</v>
      </c>
    </row>
    <row r="57" spans="10:11" x14ac:dyDescent="0.3">
      <c r="J57" s="5">
        <v>12.1</v>
      </c>
      <c r="K57">
        <v>4.84</v>
      </c>
    </row>
    <row r="58" spans="10:11" x14ac:dyDescent="0.3">
      <c r="J58" s="5">
        <v>12.12</v>
      </c>
      <c r="K58">
        <v>6.06</v>
      </c>
    </row>
    <row r="59" spans="10:11" x14ac:dyDescent="0.3">
      <c r="J59" s="5">
        <v>12.19</v>
      </c>
      <c r="K59">
        <v>4.8760000000000003</v>
      </c>
    </row>
    <row r="60" spans="10:11" x14ac:dyDescent="0.3">
      <c r="J60" s="5">
        <v>12.29</v>
      </c>
      <c r="K60">
        <v>5.5305</v>
      </c>
    </row>
    <row r="61" spans="10:11" x14ac:dyDescent="0.3">
      <c r="J61" s="5">
        <v>12.34</v>
      </c>
      <c r="K61">
        <v>4.319</v>
      </c>
    </row>
    <row r="62" spans="10:11" x14ac:dyDescent="0.3">
      <c r="J62" s="5">
        <v>12.45</v>
      </c>
      <c r="K62">
        <v>3.7349999999999999</v>
      </c>
    </row>
    <row r="63" spans="10:11" x14ac:dyDescent="0.3">
      <c r="J63" s="5">
        <v>12.54</v>
      </c>
      <c r="K63">
        <v>0.627</v>
      </c>
    </row>
    <row r="64" spans="10:11" x14ac:dyDescent="0.3">
      <c r="J64" s="5">
        <v>12.73</v>
      </c>
      <c r="K64">
        <v>1.2729999999999999</v>
      </c>
    </row>
    <row r="65" spans="10:11" x14ac:dyDescent="0.3">
      <c r="J65" s="5">
        <v>12.76</v>
      </c>
      <c r="K65">
        <v>1.276</v>
      </c>
    </row>
    <row r="66" spans="10:11" x14ac:dyDescent="0.3">
      <c r="J66" s="5">
        <v>12.78</v>
      </c>
      <c r="K66">
        <v>0.63900000000000001</v>
      </c>
    </row>
    <row r="67" spans="10:11" x14ac:dyDescent="0.3">
      <c r="J67" s="5">
        <v>13.22</v>
      </c>
      <c r="K67">
        <v>3.3050000000000002</v>
      </c>
    </row>
    <row r="68" spans="10:11" x14ac:dyDescent="0.3">
      <c r="J68" s="5">
        <v>13.5</v>
      </c>
      <c r="K68">
        <v>6.75</v>
      </c>
    </row>
    <row r="69" spans="10:11" x14ac:dyDescent="0.3">
      <c r="J69" s="5">
        <v>13.59</v>
      </c>
      <c r="K69">
        <v>6.1154999999999999</v>
      </c>
    </row>
    <row r="70" spans="10:11" x14ac:dyDescent="0.3">
      <c r="J70" s="5">
        <v>13.69</v>
      </c>
      <c r="K70">
        <v>4.1070000000000002</v>
      </c>
    </row>
    <row r="71" spans="10:11" x14ac:dyDescent="0.3">
      <c r="J71" s="5">
        <v>13.78</v>
      </c>
      <c r="K71">
        <v>2.7559999999999998</v>
      </c>
    </row>
    <row r="72" spans="10:11" x14ac:dyDescent="0.3">
      <c r="J72" s="5">
        <v>13.79</v>
      </c>
      <c r="K72">
        <v>3.4474999999999998</v>
      </c>
    </row>
    <row r="73" spans="10:11" x14ac:dyDescent="0.3">
      <c r="J73" s="5">
        <v>13.85</v>
      </c>
      <c r="K73">
        <v>6.2324999999999999</v>
      </c>
    </row>
    <row r="74" spans="10:11" x14ac:dyDescent="0.3">
      <c r="J74" s="5">
        <v>13.98</v>
      </c>
      <c r="K74">
        <v>0.69899999999999995</v>
      </c>
    </row>
    <row r="75" spans="10:11" x14ac:dyDescent="0.3">
      <c r="J75" s="5">
        <v>14.23</v>
      </c>
      <c r="K75">
        <v>3.5575000000000001</v>
      </c>
    </row>
    <row r="76" spans="10:11" x14ac:dyDescent="0.3">
      <c r="J76" s="5">
        <v>14.36</v>
      </c>
      <c r="K76">
        <v>7.18</v>
      </c>
    </row>
    <row r="77" spans="10:11" x14ac:dyDescent="0.3">
      <c r="J77" s="5">
        <v>14.39</v>
      </c>
      <c r="K77">
        <v>1.4390000000000001</v>
      </c>
    </row>
    <row r="78" spans="10:11" x14ac:dyDescent="0.3">
      <c r="J78" s="5">
        <v>14.48</v>
      </c>
      <c r="K78">
        <v>2.8959999999999999</v>
      </c>
    </row>
    <row r="79" spans="10:11" x14ac:dyDescent="0.3">
      <c r="J79" s="5">
        <v>14.62</v>
      </c>
      <c r="K79">
        <v>3.6549999999999998</v>
      </c>
    </row>
    <row r="80" spans="10:11" x14ac:dyDescent="0.3">
      <c r="J80" s="5">
        <v>14.7</v>
      </c>
      <c r="K80">
        <v>3.6749999999999998</v>
      </c>
    </row>
    <row r="81" spans="10:11" x14ac:dyDescent="0.3">
      <c r="J81" s="5">
        <v>14.76</v>
      </c>
      <c r="K81">
        <v>1.476</v>
      </c>
    </row>
    <row r="82" spans="10:11" x14ac:dyDescent="0.3">
      <c r="J82" s="5">
        <v>14.82</v>
      </c>
      <c r="K82">
        <v>2.2229999999999999</v>
      </c>
    </row>
    <row r="83" spans="10:11" x14ac:dyDescent="0.3">
      <c r="J83" s="5">
        <v>14.87</v>
      </c>
      <c r="K83">
        <v>1.4870000000000001</v>
      </c>
    </row>
    <row r="84" spans="10:11" x14ac:dyDescent="0.3">
      <c r="J84" s="5">
        <v>14.96</v>
      </c>
      <c r="K84">
        <v>5.984</v>
      </c>
    </row>
    <row r="85" spans="10:11" x14ac:dyDescent="0.3">
      <c r="J85" s="5">
        <v>15.26</v>
      </c>
      <c r="K85">
        <v>4.5780000000000003</v>
      </c>
    </row>
    <row r="86" spans="10:11" x14ac:dyDescent="0.3">
      <c r="J86" s="5">
        <v>15.28</v>
      </c>
      <c r="K86">
        <v>3.82</v>
      </c>
    </row>
    <row r="87" spans="10:11" x14ac:dyDescent="0.3">
      <c r="J87" s="5">
        <v>15.34</v>
      </c>
      <c r="K87">
        <v>0.76700000000000002</v>
      </c>
    </row>
    <row r="88" spans="10:11" x14ac:dyDescent="0.3">
      <c r="J88" s="5">
        <v>15.37</v>
      </c>
      <c r="K88">
        <v>1.5369999999999999</v>
      </c>
    </row>
    <row r="89" spans="10:11" x14ac:dyDescent="0.3">
      <c r="J89" s="5">
        <v>15.43</v>
      </c>
      <c r="K89">
        <v>0.77149999999999996</v>
      </c>
    </row>
    <row r="90" spans="10:11" x14ac:dyDescent="0.3">
      <c r="J90" s="5">
        <v>15.49</v>
      </c>
      <c r="K90">
        <v>1.5489999999999999</v>
      </c>
    </row>
    <row r="91" spans="10:11" x14ac:dyDescent="0.3">
      <c r="J91" s="5">
        <v>15.5</v>
      </c>
      <c r="K91">
        <v>8.5250000000000004</v>
      </c>
    </row>
    <row r="92" spans="10:11" x14ac:dyDescent="0.3">
      <c r="J92" s="5">
        <v>15.55</v>
      </c>
      <c r="K92">
        <v>6.9974999999999996</v>
      </c>
    </row>
    <row r="93" spans="10:11" x14ac:dyDescent="0.3">
      <c r="J93" s="5">
        <v>15.62</v>
      </c>
      <c r="K93">
        <v>6.2480000000000002</v>
      </c>
    </row>
    <row r="94" spans="10:11" x14ac:dyDescent="0.3">
      <c r="J94" s="5">
        <v>15.69</v>
      </c>
      <c r="K94">
        <v>2.3534999999999999</v>
      </c>
    </row>
    <row r="95" spans="10:11" x14ac:dyDescent="0.3">
      <c r="J95" s="5">
        <v>15.8</v>
      </c>
      <c r="K95">
        <v>10.27</v>
      </c>
    </row>
    <row r="96" spans="10:11" x14ac:dyDescent="0.3">
      <c r="J96" s="5">
        <v>15.81</v>
      </c>
      <c r="K96">
        <v>7.9050000000000002</v>
      </c>
    </row>
    <row r="97" spans="10:11" x14ac:dyDescent="0.3">
      <c r="J97" s="5">
        <v>15.87</v>
      </c>
      <c r="K97">
        <v>7.9349999999999996</v>
      </c>
    </row>
    <row r="98" spans="10:11" x14ac:dyDescent="0.3">
      <c r="J98" s="5">
        <v>15.95</v>
      </c>
      <c r="K98">
        <v>4.7850000000000001</v>
      </c>
    </row>
    <row r="99" spans="10:11" x14ac:dyDescent="0.3">
      <c r="J99" s="5">
        <v>16.16</v>
      </c>
      <c r="K99">
        <v>1.6160000000000001</v>
      </c>
    </row>
    <row r="100" spans="10:11" x14ac:dyDescent="0.3">
      <c r="J100" s="5">
        <v>16.28</v>
      </c>
      <c r="K100">
        <v>0.81399999999999995</v>
      </c>
    </row>
    <row r="101" spans="10:11" x14ac:dyDescent="0.3">
      <c r="J101" s="5">
        <v>16.309999999999999</v>
      </c>
      <c r="K101">
        <v>7.3395000000000001</v>
      </c>
    </row>
    <row r="102" spans="10:11" x14ac:dyDescent="0.3">
      <c r="J102" s="5">
        <v>16.37</v>
      </c>
      <c r="K102">
        <v>4.9109999999999996</v>
      </c>
    </row>
    <row r="103" spans="10:11" x14ac:dyDescent="0.3">
      <c r="J103" s="5">
        <v>16.45</v>
      </c>
      <c r="K103">
        <v>3.29</v>
      </c>
    </row>
    <row r="104" spans="10:11" x14ac:dyDescent="0.3">
      <c r="J104" s="5">
        <v>16.48</v>
      </c>
      <c r="K104">
        <v>4.944</v>
      </c>
    </row>
    <row r="105" spans="10:11" x14ac:dyDescent="0.3">
      <c r="J105" s="5">
        <v>16.489999999999998</v>
      </c>
      <c r="K105">
        <v>1.649</v>
      </c>
    </row>
    <row r="106" spans="10:11" x14ac:dyDescent="0.3">
      <c r="J106" s="5">
        <v>16.670000000000002</v>
      </c>
      <c r="K106">
        <v>5.8345000000000002</v>
      </c>
    </row>
    <row r="107" spans="10:11" x14ac:dyDescent="0.3">
      <c r="J107" s="5">
        <v>17.04</v>
      </c>
      <c r="K107">
        <v>3.4079999999999999</v>
      </c>
    </row>
    <row r="108" spans="10:11" x14ac:dyDescent="0.3">
      <c r="J108" s="5">
        <v>17.14</v>
      </c>
      <c r="K108">
        <v>5.9989999999999997</v>
      </c>
    </row>
    <row r="109" spans="10:11" x14ac:dyDescent="0.3">
      <c r="J109" s="5">
        <v>17.41</v>
      </c>
      <c r="K109">
        <v>4.3525</v>
      </c>
    </row>
    <row r="110" spans="10:11" x14ac:dyDescent="0.3">
      <c r="J110" s="5">
        <v>17.420000000000002</v>
      </c>
      <c r="K110">
        <v>8.7100000000000009</v>
      </c>
    </row>
    <row r="111" spans="10:11" x14ac:dyDescent="0.3">
      <c r="J111" s="5">
        <v>17.440000000000001</v>
      </c>
      <c r="K111">
        <v>4.3600000000000003</v>
      </c>
    </row>
    <row r="112" spans="10:11" x14ac:dyDescent="0.3">
      <c r="J112" s="5">
        <v>17.48</v>
      </c>
      <c r="K112">
        <v>5.2439999999999998</v>
      </c>
    </row>
    <row r="113" spans="10:11" x14ac:dyDescent="0.3">
      <c r="J113" s="5">
        <v>17.489999999999998</v>
      </c>
      <c r="K113">
        <v>8.7449999999999992</v>
      </c>
    </row>
    <row r="114" spans="10:11" x14ac:dyDescent="0.3">
      <c r="J114" s="5">
        <v>17.63</v>
      </c>
      <c r="K114">
        <v>4.4074999999999998</v>
      </c>
    </row>
    <row r="115" spans="10:11" x14ac:dyDescent="0.3">
      <c r="J115" s="5">
        <v>17.75</v>
      </c>
      <c r="K115">
        <v>0.88749999999999996</v>
      </c>
    </row>
    <row r="116" spans="10:11" x14ac:dyDescent="0.3">
      <c r="J116" s="5">
        <v>17.77</v>
      </c>
      <c r="K116">
        <v>4.4424999999999999</v>
      </c>
    </row>
    <row r="117" spans="10:11" x14ac:dyDescent="0.3">
      <c r="J117" s="5">
        <v>17.87</v>
      </c>
      <c r="K117">
        <v>3.5739999999999998</v>
      </c>
    </row>
    <row r="118" spans="10:11" x14ac:dyDescent="0.3">
      <c r="J118" s="5">
        <v>17.940000000000001</v>
      </c>
      <c r="K118">
        <v>4.4850000000000003</v>
      </c>
    </row>
    <row r="119" spans="10:11" x14ac:dyDescent="0.3">
      <c r="J119" s="5">
        <v>17.97</v>
      </c>
      <c r="K119">
        <v>3.5939999999999999</v>
      </c>
    </row>
    <row r="120" spans="10:11" x14ac:dyDescent="0.3">
      <c r="J120" s="5">
        <v>18.079999999999998</v>
      </c>
      <c r="K120">
        <v>6.3280000000000003</v>
      </c>
    </row>
    <row r="121" spans="10:11" x14ac:dyDescent="0.3">
      <c r="J121" s="5">
        <v>18.11</v>
      </c>
      <c r="K121">
        <v>9.0549999999999997</v>
      </c>
    </row>
    <row r="122" spans="10:11" x14ac:dyDescent="0.3">
      <c r="J122" s="5">
        <v>18.22</v>
      </c>
      <c r="K122">
        <v>6.3769999999999998</v>
      </c>
    </row>
    <row r="123" spans="10:11" x14ac:dyDescent="0.3">
      <c r="J123" s="5">
        <v>18.28</v>
      </c>
      <c r="K123">
        <v>0.91400000000000003</v>
      </c>
    </row>
    <row r="124" spans="10:11" x14ac:dyDescent="0.3">
      <c r="J124" s="5">
        <v>18.329999999999998</v>
      </c>
      <c r="K124">
        <v>0.91649999999999998</v>
      </c>
    </row>
    <row r="125" spans="10:11" x14ac:dyDescent="0.3">
      <c r="J125" s="5">
        <v>18.77</v>
      </c>
      <c r="K125">
        <v>5.6310000000000002</v>
      </c>
    </row>
    <row r="126" spans="10:11" x14ac:dyDescent="0.3">
      <c r="J126" s="5">
        <v>18.850000000000001</v>
      </c>
      <c r="K126">
        <v>9.4250000000000007</v>
      </c>
    </row>
    <row r="127" spans="10:11" x14ac:dyDescent="0.3">
      <c r="J127" s="5">
        <v>18.93</v>
      </c>
      <c r="K127">
        <v>5.6790000000000003</v>
      </c>
    </row>
    <row r="128" spans="10:11" x14ac:dyDescent="0.3">
      <c r="J128" s="5">
        <v>19.100000000000001</v>
      </c>
      <c r="K128">
        <v>6.6849999999999996</v>
      </c>
    </row>
    <row r="129" spans="10:11" x14ac:dyDescent="0.3">
      <c r="J129" s="5">
        <v>19.149999999999999</v>
      </c>
      <c r="K129">
        <v>6.7025000000000006</v>
      </c>
    </row>
    <row r="130" spans="10:11" x14ac:dyDescent="0.3">
      <c r="J130" s="5">
        <v>19.239999999999998</v>
      </c>
      <c r="K130">
        <v>8.6579999999999995</v>
      </c>
    </row>
    <row r="131" spans="10:11" x14ac:dyDescent="0.3">
      <c r="J131" s="5">
        <v>19.25</v>
      </c>
      <c r="K131">
        <v>7.7</v>
      </c>
    </row>
    <row r="132" spans="10:11" x14ac:dyDescent="0.3">
      <c r="J132" s="5">
        <v>19.32</v>
      </c>
      <c r="K132">
        <v>6.7619999999999996</v>
      </c>
    </row>
    <row r="133" spans="10:11" x14ac:dyDescent="0.3">
      <c r="J133" s="5">
        <v>19.36</v>
      </c>
      <c r="K133">
        <v>8.7119999999999997</v>
      </c>
    </row>
    <row r="134" spans="10:11" x14ac:dyDescent="0.3">
      <c r="J134" s="5">
        <v>19.66</v>
      </c>
      <c r="K134">
        <v>9.83</v>
      </c>
    </row>
    <row r="135" spans="10:11" x14ac:dyDescent="0.3">
      <c r="J135" s="5">
        <v>19.7</v>
      </c>
      <c r="K135">
        <v>0.98499999999999999</v>
      </c>
    </row>
    <row r="136" spans="10:11" x14ac:dyDescent="0.3">
      <c r="J136" s="5">
        <v>19.77</v>
      </c>
      <c r="K136">
        <v>9.8849999999999998</v>
      </c>
    </row>
    <row r="137" spans="10:11" x14ac:dyDescent="0.3">
      <c r="J137" s="5">
        <v>19.79</v>
      </c>
      <c r="K137">
        <v>7.9160000000000004</v>
      </c>
    </row>
    <row r="138" spans="10:11" x14ac:dyDescent="0.3">
      <c r="J138" s="5">
        <v>20.010000000000002</v>
      </c>
      <c r="K138">
        <v>18.009</v>
      </c>
    </row>
    <row r="139" spans="10:11" x14ac:dyDescent="0.3">
      <c r="J139" s="5">
        <v>20.18</v>
      </c>
      <c r="K139">
        <v>4.0359999999999996</v>
      </c>
    </row>
    <row r="140" spans="10:11" x14ac:dyDescent="0.3">
      <c r="J140" s="5">
        <v>20.38</v>
      </c>
      <c r="K140">
        <v>5.0949999999999998</v>
      </c>
    </row>
    <row r="141" spans="10:11" x14ac:dyDescent="0.3">
      <c r="J141" s="5">
        <v>20.77</v>
      </c>
      <c r="K141">
        <v>4.1539999999999999</v>
      </c>
    </row>
    <row r="142" spans="10:11" x14ac:dyDescent="0.3">
      <c r="J142" s="5">
        <v>20.85</v>
      </c>
      <c r="K142">
        <v>8.34</v>
      </c>
    </row>
    <row r="143" spans="10:11" x14ac:dyDescent="0.3">
      <c r="J143" s="5">
        <v>20.87</v>
      </c>
      <c r="K143">
        <v>3.1305000000000001</v>
      </c>
    </row>
    <row r="144" spans="10:11" x14ac:dyDescent="0.3">
      <c r="J144" s="5">
        <v>20.89</v>
      </c>
      <c r="K144">
        <v>2.089</v>
      </c>
    </row>
    <row r="145" spans="10:11" x14ac:dyDescent="0.3">
      <c r="J145" s="5">
        <v>20.97</v>
      </c>
      <c r="K145">
        <v>5.2424999999999997</v>
      </c>
    </row>
    <row r="146" spans="10:11" x14ac:dyDescent="0.3">
      <c r="J146" s="5">
        <v>21.04</v>
      </c>
      <c r="K146">
        <v>4.2080000000000002</v>
      </c>
    </row>
    <row r="147" spans="10:11" x14ac:dyDescent="0.3">
      <c r="J147" s="5">
        <v>21.08</v>
      </c>
      <c r="K147">
        <v>3.1619999999999999</v>
      </c>
    </row>
    <row r="148" spans="10:11" x14ac:dyDescent="0.3">
      <c r="J148" s="5">
        <v>21.12</v>
      </c>
      <c r="K148">
        <v>10.56</v>
      </c>
    </row>
    <row r="149" spans="10:11" x14ac:dyDescent="0.3">
      <c r="J149" s="5">
        <v>21.32</v>
      </c>
      <c r="K149">
        <v>1.0660000000000001</v>
      </c>
    </row>
    <row r="150" spans="10:11" x14ac:dyDescent="0.3">
      <c r="J150" s="5">
        <v>21.43</v>
      </c>
      <c r="K150">
        <v>10.715</v>
      </c>
    </row>
    <row r="151" spans="10:11" x14ac:dyDescent="0.3">
      <c r="J151" s="5">
        <v>21.48</v>
      </c>
      <c r="K151">
        <v>2.1480000000000001</v>
      </c>
    </row>
    <row r="152" spans="10:11" x14ac:dyDescent="0.3">
      <c r="J152" s="5">
        <v>21.5</v>
      </c>
      <c r="K152">
        <v>9.6750000000000007</v>
      </c>
    </row>
    <row r="153" spans="10:11" x14ac:dyDescent="0.3">
      <c r="J153" s="5">
        <v>21.52</v>
      </c>
      <c r="K153">
        <v>6.4560000000000004</v>
      </c>
    </row>
    <row r="154" spans="10:11" x14ac:dyDescent="0.3">
      <c r="J154" s="5">
        <v>21.54</v>
      </c>
      <c r="K154">
        <v>9.6929999999999996</v>
      </c>
    </row>
    <row r="155" spans="10:11" x14ac:dyDescent="0.3">
      <c r="J155" s="5">
        <v>21.58</v>
      </c>
      <c r="K155">
        <v>10.790000000000001</v>
      </c>
    </row>
    <row r="156" spans="10:11" x14ac:dyDescent="0.3">
      <c r="J156" s="5">
        <v>21.8</v>
      </c>
      <c r="K156">
        <v>8.7200000000000006</v>
      </c>
    </row>
    <row r="157" spans="10:11" x14ac:dyDescent="0.3">
      <c r="J157" s="5">
        <v>21.82</v>
      </c>
      <c r="K157">
        <v>10.91</v>
      </c>
    </row>
    <row r="158" spans="10:11" x14ac:dyDescent="0.3">
      <c r="J158" s="5">
        <v>21.87</v>
      </c>
      <c r="K158">
        <v>2.1869999999999998</v>
      </c>
    </row>
    <row r="159" spans="10:11" x14ac:dyDescent="0.3">
      <c r="J159" s="5">
        <v>21.9</v>
      </c>
      <c r="K159">
        <v>3.2850000000000001</v>
      </c>
    </row>
    <row r="160" spans="10:11" x14ac:dyDescent="0.3">
      <c r="J160" s="5">
        <v>21.94</v>
      </c>
      <c r="K160">
        <v>5.4850000000000003</v>
      </c>
    </row>
    <row r="161" spans="10:11" x14ac:dyDescent="0.3">
      <c r="J161" s="5">
        <v>21.98</v>
      </c>
      <c r="K161">
        <v>7.6929999999999996</v>
      </c>
    </row>
    <row r="162" spans="10:11" x14ac:dyDescent="0.3">
      <c r="J162" s="5">
        <v>22.01</v>
      </c>
      <c r="K162">
        <v>11.004999999999999</v>
      </c>
    </row>
    <row r="163" spans="10:11" x14ac:dyDescent="0.3">
      <c r="J163" s="5">
        <v>22.02</v>
      </c>
      <c r="K163">
        <v>9.9090000000000007</v>
      </c>
    </row>
    <row r="164" spans="10:11" x14ac:dyDescent="0.3">
      <c r="J164" s="5">
        <v>22.17</v>
      </c>
      <c r="K164">
        <v>8.8680000000000003</v>
      </c>
    </row>
    <row r="165" spans="10:11" x14ac:dyDescent="0.3">
      <c r="J165" s="5">
        <v>22.21</v>
      </c>
      <c r="K165">
        <v>6.6630000000000003</v>
      </c>
    </row>
    <row r="166" spans="10:11" x14ac:dyDescent="0.3">
      <c r="J166" s="5">
        <v>22.24</v>
      </c>
      <c r="K166">
        <v>11.12</v>
      </c>
    </row>
    <row r="167" spans="10:11" x14ac:dyDescent="0.3">
      <c r="J167" s="5">
        <v>22.32</v>
      </c>
      <c r="K167">
        <v>8.9280000000000008</v>
      </c>
    </row>
    <row r="168" spans="10:11" x14ac:dyDescent="0.3">
      <c r="J168" s="5">
        <v>22.38</v>
      </c>
      <c r="K168">
        <v>1.119</v>
      </c>
    </row>
    <row r="169" spans="10:11" x14ac:dyDescent="0.3">
      <c r="J169" s="5">
        <v>22.51</v>
      </c>
      <c r="K169">
        <v>7.8784999999999998</v>
      </c>
    </row>
    <row r="170" spans="10:11" x14ac:dyDescent="0.3">
      <c r="J170" s="5">
        <v>22.62</v>
      </c>
      <c r="K170">
        <v>1.131</v>
      </c>
    </row>
    <row r="171" spans="10:11" x14ac:dyDescent="0.3">
      <c r="J171" s="5">
        <v>22.93</v>
      </c>
      <c r="K171">
        <v>10.3185</v>
      </c>
    </row>
    <row r="172" spans="10:11" x14ac:dyDescent="0.3">
      <c r="J172" s="5">
        <v>22.95</v>
      </c>
      <c r="K172">
        <v>11.475</v>
      </c>
    </row>
    <row r="173" spans="10:11" x14ac:dyDescent="0.3">
      <c r="J173" s="5">
        <v>22.96</v>
      </c>
      <c r="K173">
        <v>1.1479999999999999</v>
      </c>
    </row>
    <row r="174" spans="10:11" x14ac:dyDescent="0.3">
      <c r="J174" s="5">
        <v>23.01</v>
      </c>
      <c r="K174">
        <v>6.9029999999999996</v>
      </c>
    </row>
    <row r="175" spans="10:11" x14ac:dyDescent="0.3">
      <c r="J175" s="5">
        <v>23.03</v>
      </c>
      <c r="K175">
        <v>10.3635</v>
      </c>
    </row>
    <row r="176" spans="10:11" x14ac:dyDescent="0.3">
      <c r="J176" s="5">
        <v>23.07</v>
      </c>
      <c r="K176">
        <v>10.381500000000001</v>
      </c>
    </row>
    <row r="177" spans="10:11" x14ac:dyDescent="0.3">
      <c r="J177" s="5">
        <v>23.08</v>
      </c>
      <c r="K177">
        <v>6.9240000000000004</v>
      </c>
    </row>
    <row r="178" spans="10:11" x14ac:dyDescent="0.3">
      <c r="J178" s="5">
        <v>23.29</v>
      </c>
      <c r="K178">
        <v>4.6580000000000004</v>
      </c>
    </row>
    <row r="179" spans="10:11" x14ac:dyDescent="0.3">
      <c r="J179" s="5">
        <v>23.34</v>
      </c>
      <c r="K179">
        <v>4.6680000000000001</v>
      </c>
    </row>
    <row r="180" spans="10:11" x14ac:dyDescent="0.3">
      <c r="J180" s="5">
        <v>23.46</v>
      </c>
      <c r="K180">
        <v>7.0380000000000003</v>
      </c>
    </row>
    <row r="181" spans="10:11" x14ac:dyDescent="0.3">
      <c r="J181" s="5">
        <v>23.48</v>
      </c>
      <c r="K181">
        <v>2.3479999999999999</v>
      </c>
    </row>
    <row r="182" spans="10:11" x14ac:dyDescent="0.3">
      <c r="J182" s="5">
        <v>23.65</v>
      </c>
      <c r="K182">
        <v>4.7300000000000004</v>
      </c>
    </row>
    <row r="183" spans="10:11" x14ac:dyDescent="0.3">
      <c r="J183" s="5">
        <v>23.75</v>
      </c>
      <c r="K183">
        <v>15.4375</v>
      </c>
    </row>
    <row r="184" spans="10:11" x14ac:dyDescent="0.3">
      <c r="J184" s="5">
        <v>23.82</v>
      </c>
      <c r="K184">
        <v>5.9550000000000001</v>
      </c>
    </row>
    <row r="185" spans="10:11" x14ac:dyDescent="0.3">
      <c r="J185" s="5">
        <v>24.18</v>
      </c>
      <c r="K185">
        <v>9.6720000000000006</v>
      </c>
    </row>
    <row r="186" spans="10:11" x14ac:dyDescent="0.3">
      <c r="J186" s="5">
        <v>24.24</v>
      </c>
      <c r="K186">
        <v>8.484</v>
      </c>
    </row>
    <row r="187" spans="10:11" x14ac:dyDescent="0.3">
      <c r="J187" s="5">
        <v>24.31</v>
      </c>
      <c r="K187">
        <v>3.6465000000000001</v>
      </c>
    </row>
    <row r="188" spans="10:11" x14ac:dyDescent="0.3">
      <c r="J188" s="5">
        <v>24.49</v>
      </c>
      <c r="K188">
        <v>12.244999999999999</v>
      </c>
    </row>
    <row r="189" spans="10:11" x14ac:dyDescent="0.3">
      <c r="J189" s="5">
        <v>24.74</v>
      </c>
      <c r="K189">
        <v>16.081</v>
      </c>
    </row>
    <row r="190" spans="10:11" x14ac:dyDescent="0.3">
      <c r="J190" s="5">
        <v>24.77</v>
      </c>
      <c r="K190">
        <v>6.1924999999999999</v>
      </c>
    </row>
    <row r="191" spans="10:11" x14ac:dyDescent="0.3">
      <c r="J191" s="5">
        <v>24.82</v>
      </c>
      <c r="K191">
        <v>8.6869999999999994</v>
      </c>
    </row>
    <row r="192" spans="10:11" x14ac:dyDescent="0.3">
      <c r="J192" s="5">
        <v>24.89</v>
      </c>
      <c r="K192">
        <v>11.2005</v>
      </c>
    </row>
    <row r="193" spans="10:11" x14ac:dyDescent="0.3">
      <c r="J193" s="5">
        <v>24.94</v>
      </c>
      <c r="K193">
        <v>11.223000000000001</v>
      </c>
    </row>
    <row r="194" spans="10:11" x14ac:dyDescent="0.3">
      <c r="J194" s="5">
        <v>25</v>
      </c>
      <c r="K194">
        <v>1.25</v>
      </c>
    </row>
    <row r="195" spans="10:11" x14ac:dyDescent="0.3">
      <c r="J195" s="5">
        <v>25.22</v>
      </c>
      <c r="K195">
        <v>8.827</v>
      </c>
    </row>
    <row r="196" spans="10:11" x14ac:dyDescent="0.3">
      <c r="J196" s="5">
        <v>25.25</v>
      </c>
      <c r="K196">
        <v>6.3125</v>
      </c>
    </row>
    <row r="197" spans="10:11" x14ac:dyDescent="0.3">
      <c r="J197" s="5">
        <v>25.29</v>
      </c>
      <c r="K197">
        <v>1.2645</v>
      </c>
    </row>
    <row r="198" spans="10:11" x14ac:dyDescent="0.3">
      <c r="J198" s="5">
        <v>25.31</v>
      </c>
      <c r="K198">
        <v>2.5310000000000001</v>
      </c>
    </row>
    <row r="199" spans="10:11" x14ac:dyDescent="0.3">
      <c r="J199" s="5">
        <v>25.32</v>
      </c>
      <c r="K199">
        <v>10.128</v>
      </c>
    </row>
    <row r="200" spans="10:11" x14ac:dyDescent="0.3">
      <c r="J200" s="5">
        <v>25.42</v>
      </c>
      <c r="K200">
        <v>10.167999999999999</v>
      </c>
    </row>
    <row r="201" spans="10:11" x14ac:dyDescent="0.3">
      <c r="J201" s="5">
        <v>25.43</v>
      </c>
      <c r="K201">
        <v>7.6289999999999996</v>
      </c>
    </row>
    <row r="202" spans="10:11" x14ac:dyDescent="0.3">
      <c r="J202" s="5">
        <v>25.45</v>
      </c>
      <c r="K202">
        <v>1.2725</v>
      </c>
    </row>
    <row r="203" spans="10:11" x14ac:dyDescent="0.3">
      <c r="J203" s="5">
        <v>25.51</v>
      </c>
      <c r="K203">
        <v>5.1020000000000003</v>
      </c>
    </row>
    <row r="204" spans="10:11" x14ac:dyDescent="0.3">
      <c r="J204" s="5">
        <v>25.55</v>
      </c>
      <c r="K204">
        <v>5.1100000000000003</v>
      </c>
    </row>
    <row r="205" spans="10:11" x14ac:dyDescent="0.3">
      <c r="J205" s="5">
        <v>25.56</v>
      </c>
      <c r="K205">
        <v>8.9459999999999997</v>
      </c>
    </row>
    <row r="206" spans="10:11" x14ac:dyDescent="0.3">
      <c r="J206" s="5">
        <v>25.7</v>
      </c>
      <c r="K206">
        <v>3.855</v>
      </c>
    </row>
    <row r="207" spans="10:11" x14ac:dyDescent="0.3">
      <c r="J207" s="5">
        <v>25.84</v>
      </c>
      <c r="K207">
        <v>3.8759999999999999</v>
      </c>
    </row>
    <row r="208" spans="10:11" x14ac:dyDescent="0.3">
      <c r="J208" s="5">
        <v>25.9</v>
      </c>
      <c r="K208">
        <v>12.95</v>
      </c>
    </row>
    <row r="209" spans="10:11" x14ac:dyDescent="0.3">
      <c r="J209" s="5">
        <v>25.91</v>
      </c>
      <c r="K209">
        <v>7.7729999999999997</v>
      </c>
    </row>
    <row r="210" spans="10:11" x14ac:dyDescent="0.3">
      <c r="J210" s="5">
        <v>26.02</v>
      </c>
      <c r="K210">
        <v>9.1069999999999993</v>
      </c>
    </row>
    <row r="211" spans="10:11" x14ac:dyDescent="0.3">
      <c r="J211" s="5">
        <v>26.23</v>
      </c>
      <c r="K211">
        <v>11.8035</v>
      </c>
    </row>
    <row r="212" spans="10:11" x14ac:dyDescent="0.3">
      <c r="J212" s="5">
        <v>26.26</v>
      </c>
      <c r="K212">
        <v>13.13</v>
      </c>
    </row>
    <row r="213" spans="10:11" x14ac:dyDescent="0.3">
      <c r="J213" s="5">
        <v>26.31</v>
      </c>
      <c r="K213">
        <v>6.5774999999999997</v>
      </c>
    </row>
    <row r="214" spans="10:11" x14ac:dyDescent="0.3">
      <c r="J214" s="5">
        <v>26.43</v>
      </c>
      <c r="K214">
        <v>10.571999999999999</v>
      </c>
    </row>
    <row r="215" spans="10:11" x14ac:dyDescent="0.3">
      <c r="J215" s="5">
        <v>26.48</v>
      </c>
      <c r="K215">
        <v>3.972</v>
      </c>
    </row>
    <row r="216" spans="10:11" x14ac:dyDescent="0.3">
      <c r="J216" s="5">
        <v>26.6</v>
      </c>
      <c r="K216">
        <v>7.98</v>
      </c>
    </row>
    <row r="217" spans="10:11" x14ac:dyDescent="0.3">
      <c r="J217" s="5">
        <v>26.61</v>
      </c>
      <c r="K217">
        <v>2.661</v>
      </c>
    </row>
    <row r="218" spans="10:11" x14ac:dyDescent="0.3">
      <c r="J218" s="5">
        <v>26.67</v>
      </c>
      <c r="K218">
        <v>13.335000000000001</v>
      </c>
    </row>
    <row r="219" spans="10:11" x14ac:dyDescent="0.3">
      <c r="J219" s="5">
        <v>27</v>
      </c>
      <c r="K219">
        <v>12.15</v>
      </c>
    </row>
    <row r="220" spans="10:11" x14ac:dyDescent="0.3">
      <c r="J220" s="5">
        <v>27.02</v>
      </c>
      <c r="K220">
        <v>4.0529999999999999</v>
      </c>
    </row>
    <row r="221" spans="10:11" x14ac:dyDescent="0.3">
      <c r="J221" s="5">
        <v>27.04</v>
      </c>
      <c r="K221">
        <v>5.4080000000000004</v>
      </c>
    </row>
    <row r="222" spans="10:11" x14ac:dyDescent="0.3">
      <c r="J222" s="5">
        <v>27.07</v>
      </c>
      <c r="K222">
        <v>1.3534999999999999</v>
      </c>
    </row>
    <row r="223" spans="10:11" x14ac:dyDescent="0.3">
      <c r="J223" s="5">
        <v>27.18</v>
      </c>
      <c r="K223">
        <v>2.718</v>
      </c>
    </row>
    <row r="224" spans="10:11" x14ac:dyDescent="0.3">
      <c r="J224" s="5">
        <v>27.22</v>
      </c>
      <c r="K224">
        <v>4.0830000000000002</v>
      </c>
    </row>
    <row r="225" spans="10:11" x14ac:dyDescent="0.3">
      <c r="J225" s="5">
        <v>27.28</v>
      </c>
      <c r="K225">
        <v>6.82</v>
      </c>
    </row>
    <row r="226" spans="10:11" x14ac:dyDescent="0.3">
      <c r="J226" s="5">
        <v>27.38</v>
      </c>
      <c r="K226">
        <v>8.2140000000000004</v>
      </c>
    </row>
    <row r="227" spans="10:11" x14ac:dyDescent="0.3">
      <c r="J227" s="5">
        <v>27.5</v>
      </c>
      <c r="K227">
        <v>4.125</v>
      </c>
    </row>
    <row r="228" spans="10:11" x14ac:dyDescent="0.3">
      <c r="J228" s="5">
        <v>27.66</v>
      </c>
      <c r="K228">
        <v>13.83</v>
      </c>
    </row>
    <row r="229" spans="10:11" x14ac:dyDescent="0.3">
      <c r="J229" s="5">
        <v>27.73</v>
      </c>
      <c r="K229">
        <v>6.9325000000000001</v>
      </c>
    </row>
    <row r="230" spans="10:11" x14ac:dyDescent="0.3">
      <c r="J230" s="5">
        <v>27.85</v>
      </c>
      <c r="K230">
        <v>9.7475000000000005</v>
      </c>
    </row>
    <row r="231" spans="10:11" x14ac:dyDescent="0.3">
      <c r="J231" s="5">
        <v>27.93</v>
      </c>
      <c r="K231">
        <v>6.9824999999999999</v>
      </c>
    </row>
    <row r="232" spans="10:11" x14ac:dyDescent="0.3">
      <c r="J232" s="5">
        <v>28.31</v>
      </c>
      <c r="K232">
        <v>5.6619999999999999</v>
      </c>
    </row>
    <row r="233" spans="10:11" x14ac:dyDescent="0.3">
      <c r="J233" s="5">
        <v>28.32</v>
      </c>
      <c r="K233">
        <v>7.08</v>
      </c>
    </row>
    <row r="234" spans="10:11" x14ac:dyDescent="0.3">
      <c r="J234" s="5">
        <v>28.38</v>
      </c>
      <c r="K234">
        <v>7.0949999999999998</v>
      </c>
    </row>
    <row r="235" spans="10:11" x14ac:dyDescent="0.3">
      <c r="J235" s="5">
        <v>28.45</v>
      </c>
      <c r="K235">
        <v>7.1124999999999998</v>
      </c>
    </row>
    <row r="236" spans="10:11" x14ac:dyDescent="0.3">
      <c r="J236" s="5">
        <v>28.5</v>
      </c>
      <c r="K236">
        <v>11.4</v>
      </c>
    </row>
    <row r="237" spans="10:11" x14ac:dyDescent="0.3">
      <c r="J237" s="5">
        <v>28.53</v>
      </c>
      <c r="K237">
        <v>14.265000000000001</v>
      </c>
    </row>
    <row r="238" spans="10:11" x14ac:dyDescent="0.3">
      <c r="J238" s="5">
        <v>28.84</v>
      </c>
      <c r="K238">
        <v>5.7679999999999998</v>
      </c>
    </row>
    <row r="239" spans="10:11" x14ac:dyDescent="0.3">
      <c r="J239" s="5">
        <v>28.86</v>
      </c>
      <c r="K239">
        <v>7.2149999999999999</v>
      </c>
    </row>
    <row r="240" spans="10:11" x14ac:dyDescent="0.3">
      <c r="J240" s="5">
        <v>28.95</v>
      </c>
      <c r="K240">
        <v>10.1325</v>
      </c>
    </row>
    <row r="241" spans="10:11" x14ac:dyDescent="0.3">
      <c r="J241" s="5">
        <v>28.96</v>
      </c>
      <c r="K241">
        <v>1.448</v>
      </c>
    </row>
    <row r="242" spans="10:11" x14ac:dyDescent="0.3">
      <c r="J242" s="5">
        <v>29.15</v>
      </c>
      <c r="K242">
        <v>4.3724999999999996</v>
      </c>
    </row>
    <row r="243" spans="10:11" x14ac:dyDescent="0.3">
      <c r="J243" s="5">
        <v>29.22</v>
      </c>
      <c r="K243">
        <v>8.766</v>
      </c>
    </row>
    <row r="244" spans="10:11" x14ac:dyDescent="0.3">
      <c r="J244" s="5">
        <v>29.42</v>
      </c>
      <c r="K244">
        <v>14.71</v>
      </c>
    </row>
    <row r="245" spans="10:11" x14ac:dyDescent="0.3">
      <c r="J245" s="5">
        <v>29.56</v>
      </c>
      <c r="K245">
        <v>7.39</v>
      </c>
    </row>
    <row r="246" spans="10:11" x14ac:dyDescent="0.3">
      <c r="J246" s="5">
        <v>29.61</v>
      </c>
      <c r="K246">
        <v>10.3635</v>
      </c>
    </row>
    <row r="247" spans="10:11" x14ac:dyDescent="0.3">
      <c r="J247" s="5">
        <v>29.67</v>
      </c>
      <c r="K247">
        <v>10.384499999999999</v>
      </c>
    </row>
    <row r="248" spans="10:11" x14ac:dyDescent="0.3">
      <c r="J248" s="5">
        <v>30.12</v>
      </c>
      <c r="K248">
        <v>12.048</v>
      </c>
    </row>
    <row r="249" spans="10:11" x14ac:dyDescent="0.3">
      <c r="J249" s="5">
        <v>30.14</v>
      </c>
      <c r="K249">
        <v>15.07</v>
      </c>
    </row>
    <row r="250" spans="10:11" x14ac:dyDescent="0.3">
      <c r="J250" s="5">
        <v>30.2</v>
      </c>
      <c r="K250">
        <v>12.08</v>
      </c>
    </row>
    <row r="251" spans="10:11" x14ac:dyDescent="0.3">
      <c r="J251" s="5">
        <v>30.24</v>
      </c>
      <c r="K251">
        <v>1.512</v>
      </c>
    </row>
    <row r="252" spans="10:11" x14ac:dyDescent="0.3">
      <c r="J252" s="5">
        <v>30.35</v>
      </c>
      <c r="K252">
        <v>10.6225</v>
      </c>
    </row>
    <row r="253" spans="10:11" x14ac:dyDescent="0.3">
      <c r="J253" s="5">
        <v>30.37</v>
      </c>
      <c r="K253">
        <v>4.5555000000000003</v>
      </c>
    </row>
    <row r="254" spans="10:11" x14ac:dyDescent="0.3">
      <c r="J254" s="5">
        <v>30.41</v>
      </c>
      <c r="K254">
        <v>1.5205</v>
      </c>
    </row>
    <row r="255" spans="10:11" x14ac:dyDescent="0.3">
      <c r="J255" s="5">
        <v>30.61</v>
      </c>
      <c r="K255">
        <v>10.7135</v>
      </c>
    </row>
    <row r="256" spans="10:11" x14ac:dyDescent="0.3">
      <c r="J256" s="5">
        <v>30.62</v>
      </c>
      <c r="K256">
        <v>1.5309999999999999</v>
      </c>
    </row>
    <row r="257" spans="10:11" x14ac:dyDescent="0.3">
      <c r="J257" s="5">
        <v>30.68</v>
      </c>
      <c r="K257">
        <v>4.6020000000000003</v>
      </c>
    </row>
    <row r="258" spans="10:11" x14ac:dyDescent="0.3">
      <c r="J258" s="5">
        <v>31.67</v>
      </c>
      <c r="K258">
        <v>12.667999999999999</v>
      </c>
    </row>
    <row r="259" spans="10:11" x14ac:dyDescent="0.3">
      <c r="J259" s="5">
        <v>31.73</v>
      </c>
      <c r="K259">
        <v>14.278499999999999</v>
      </c>
    </row>
    <row r="260" spans="10:11" x14ac:dyDescent="0.3">
      <c r="J260" s="5">
        <v>31.75</v>
      </c>
      <c r="K260">
        <v>6.35</v>
      </c>
    </row>
    <row r="261" spans="10:11" x14ac:dyDescent="0.3">
      <c r="J261" s="5">
        <v>31.77</v>
      </c>
      <c r="K261">
        <v>6.3540000000000001</v>
      </c>
    </row>
    <row r="262" spans="10:11" x14ac:dyDescent="0.3">
      <c r="J262" s="5">
        <v>31.84</v>
      </c>
      <c r="K262">
        <v>1.5920000000000001</v>
      </c>
    </row>
    <row r="263" spans="10:11" x14ac:dyDescent="0.3">
      <c r="J263" s="5">
        <v>31.9</v>
      </c>
      <c r="K263">
        <v>1.595</v>
      </c>
    </row>
    <row r="264" spans="10:11" x14ac:dyDescent="0.3">
      <c r="J264" s="5">
        <v>31.99</v>
      </c>
      <c r="K264">
        <v>15.994999999999999</v>
      </c>
    </row>
    <row r="265" spans="10:11" x14ac:dyDescent="0.3">
      <c r="J265" s="5">
        <v>32.25</v>
      </c>
      <c r="K265">
        <v>14.512499999999999</v>
      </c>
    </row>
    <row r="266" spans="10:11" x14ac:dyDescent="0.3">
      <c r="J266" s="5">
        <v>32.32</v>
      </c>
      <c r="K266">
        <v>21.007999999999999</v>
      </c>
    </row>
    <row r="267" spans="10:11" x14ac:dyDescent="0.3">
      <c r="J267" s="5">
        <v>32.46</v>
      </c>
      <c r="K267">
        <v>12.984</v>
      </c>
    </row>
    <row r="268" spans="10:11" x14ac:dyDescent="0.3">
      <c r="J268" s="5">
        <v>32.619999999999997</v>
      </c>
      <c r="K268">
        <v>6.524</v>
      </c>
    </row>
    <row r="269" spans="10:11" x14ac:dyDescent="0.3">
      <c r="J269" s="5">
        <v>32.71</v>
      </c>
      <c r="K269">
        <v>8.1775000000000002</v>
      </c>
    </row>
    <row r="270" spans="10:11" x14ac:dyDescent="0.3">
      <c r="J270" s="5">
        <v>32.799999999999997</v>
      </c>
      <c r="K270">
        <v>16.399999999999999</v>
      </c>
    </row>
    <row r="271" spans="10:11" x14ac:dyDescent="0.3">
      <c r="J271" s="5">
        <v>32.9</v>
      </c>
      <c r="K271">
        <v>4.9349999999999996</v>
      </c>
    </row>
    <row r="272" spans="10:11" x14ac:dyDescent="0.3">
      <c r="J272" s="5">
        <v>33.200000000000003</v>
      </c>
      <c r="K272">
        <v>3.32</v>
      </c>
    </row>
    <row r="273" spans="10:11" x14ac:dyDescent="0.3">
      <c r="J273" s="5">
        <v>33.21</v>
      </c>
      <c r="K273">
        <v>16.605</v>
      </c>
    </row>
    <row r="274" spans="10:11" x14ac:dyDescent="0.3">
      <c r="J274" s="5">
        <v>33.26</v>
      </c>
      <c r="K274">
        <v>8.3149999999999995</v>
      </c>
    </row>
    <row r="275" spans="10:11" x14ac:dyDescent="0.3">
      <c r="J275" s="5">
        <v>33.299999999999997</v>
      </c>
      <c r="K275">
        <v>14.984999999999999</v>
      </c>
    </row>
    <row r="276" spans="10:11" x14ac:dyDescent="0.3">
      <c r="J276" s="5">
        <v>33.33</v>
      </c>
      <c r="K276">
        <v>3.3330000000000002</v>
      </c>
    </row>
    <row r="277" spans="10:11" x14ac:dyDescent="0.3">
      <c r="J277" s="5">
        <v>33.47</v>
      </c>
      <c r="K277">
        <v>3.347</v>
      </c>
    </row>
    <row r="278" spans="10:11" x14ac:dyDescent="0.3">
      <c r="J278" s="5">
        <v>33.520000000000003</v>
      </c>
      <c r="K278">
        <v>1.6759999999999999</v>
      </c>
    </row>
    <row r="279" spans="10:11" x14ac:dyDescent="0.3">
      <c r="J279" s="5">
        <v>33.630000000000003</v>
      </c>
      <c r="K279">
        <v>1.6815</v>
      </c>
    </row>
    <row r="280" spans="10:11" x14ac:dyDescent="0.3">
      <c r="J280" s="5">
        <v>33.64</v>
      </c>
      <c r="K280">
        <v>13.456</v>
      </c>
    </row>
    <row r="281" spans="10:11" x14ac:dyDescent="0.3">
      <c r="J281" s="5">
        <v>33.81</v>
      </c>
      <c r="K281">
        <v>5.0715000000000003</v>
      </c>
    </row>
    <row r="282" spans="10:11" x14ac:dyDescent="0.3">
      <c r="J282" s="5">
        <v>33.840000000000003</v>
      </c>
      <c r="K282">
        <v>15.228</v>
      </c>
    </row>
    <row r="283" spans="10:11" x14ac:dyDescent="0.3">
      <c r="J283" s="5">
        <v>33.880000000000003</v>
      </c>
      <c r="K283">
        <v>13.552</v>
      </c>
    </row>
    <row r="284" spans="10:11" x14ac:dyDescent="0.3">
      <c r="J284" s="5">
        <v>33.979999999999997</v>
      </c>
      <c r="K284">
        <v>15.291</v>
      </c>
    </row>
    <row r="285" spans="10:11" x14ac:dyDescent="0.3">
      <c r="J285" s="5">
        <v>33.99</v>
      </c>
      <c r="K285">
        <v>10.196999999999999</v>
      </c>
    </row>
    <row r="286" spans="10:11" x14ac:dyDescent="0.3">
      <c r="J286" s="5">
        <v>34.21</v>
      </c>
      <c r="K286">
        <v>17.105</v>
      </c>
    </row>
    <row r="287" spans="10:11" x14ac:dyDescent="0.3">
      <c r="J287" s="5">
        <v>34.31</v>
      </c>
      <c r="K287">
        <v>13.724</v>
      </c>
    </row>
    <row r="288" spans="10:11" x14ac:dyDescent="0.3">
      <c r="J288" s="5">
        <v>34.369999999999997</v>
      </c>
      <c r="K288">
        <v>17.184999999999999</v>
      </c>
    </row>
    <row r="289" spans="10:11" x14ac:dyDescent="0.3">
      <c r="J289" s="5">
        <v>34.42</v>
      </c>
      <c r="K289">
        <v>20.652000000000001</v>
      </c>
    </row>
    <row r="290" spans="10:11" x14ac:dyDescent="0.3">
      <c r="J290" s="5">
        <v>34.49</v>
      </c>
      <c r="K290">
        <v>8.6225000000000005</v>
      </c>
    </row>
    <row r="291" spans="10:11" x14ac:dyDescent="0.3">
      <c r="J291" s="5">
        <v>34.56</v>
      </c>
      <c r="K291">
        <v>20.736000000000001</v>
      </c>
    </row>
    <row r="292" spans="10:11" x14ac:dyDescent="0.3">
      <c r="J292" s="5">
        <v>34.700000000000003</v>
      </c>
      <c r="K292">
        <v>3.47</v>
      </c>
    </row>
    <row r="293" spans="10:11" x14ac:dyDescent="0.3">
      <c r="J293" s="5">
        <v>34.729999999999997</v>
      </c>
      <c r="K293">
        <v>3.4729999999999999</v>
      </c>
    </row>
    <row r="294" spans="10:11" x14ac:dyDescent="0.3">
      <c r="J294" s="5">
        <v>34.81</v>
      </c>
      <c r="K294">
        <v>1.7404999999999999</v>
      </c>
    </row>
    <row r="295" spans="10:11" x14ac:dyDescent="0.3">
      <c r="J295" s="5">
        <v>34.840000000000003</v>
      </c>
      <c r="K295">
        <v>6.968</v>
      </c>
    </row>
    <row r="296" spans="10:11" x14ac:dyDescent="0.3">
      <c r="J296" s="5">
        <v>35.04</v>
      </c>
      <c r="K296">
        <v>15.768000000000001</v>
      </c>
    </row>
    <row r="297" spans="10:11" x14ac:dyDescent="0.3">
      <c r="J297" s="5">
        <v>35.19</v>
      </c>
      <c r="K297">
        <v>17.594999999999999</v>
      </c>
    </row>
    <row r="298" spans="10:11" x14ac:dyDescent="0.3">
      <c r="J298" s="5">
        <v>35.22</v>
      </c>
      <c r="K298">
        <v>10.566000000000001</v>
      </c>
    </row>
    <row r="299" spans="10:11" x14ac:dyDescent="0.3">
      <c r="J299" s="5">
        <v>35.380000000000003</v>
      </c>
      <c r="K299">
        <v>15.920999999999999</v>
      </c>
    </row>
    <row r="300" spans="10:11" x14ac:dyDescent="0.3">
      <c r="J300" s="5">
        <v>35.47</v>
      </c>
      <c r="K300">
        <v>7.0940000000000003</v>
      </c>
    </row>
    <row r="301" spans="10:11" x14ac:dyDescent="0.3">
      <c r="J301" s="5">
        <v>35.49</v>
      </c>
      <c r="K301">
        <v>10.647</v>
      </c>
    </row>
    <row r="302" spans="10:11" x14ac:dyDescent="0.3">
      <c r="J302" s="5">
        <v>35.54</v>
      </c>
      <c r="K302">
        <v>17.77</v>
      </c>
    </row>
    <row r="303" spans="10:11" x14ac:dyDescent="0.3">
      <c r="J303" s="5">
        <v>35.68</v>
      </c>
      <c r="K303">
        <v>8.92</v>
      </c>
    </row>
    <row r="304" spans="10:11" x14ac:dyDescent="0.3">
      <c r="J304" s="5">
        <v>35.74</v>
      </c>
      <c r="K304">
        <v>14.295999999999999</v>
      </c>
    </row>
    <row r="305" spans="10:11" x14ac:dyDescent="0.3">
      <c r="J305" s="5">
        <v>35.79</v>
      </c>
      <c r="K305">
        <v>16.105499999999999</v>
      </c>
    </row>
    <row r="306" spans="10:11" x14ac:dyDescent="0.3">
      <c r="J306" s="5">
        <v>35.81</v>
      </c>
      <c r="K306">
        <v>8.9525000000000006</v>
      </c>
    </row>
    <row r="307" spans="10:11" x14ac:dyDescent="0.3">
      <c r="J307" s="5">
        <v>35.89</v>
      </c>
      <c r="K307">
        <v>1.7945</v>
      </c>
    </row>
    <row r="308" spans="10:11" x14ac:dyDescent="0.3">
      <c r="J308" s="5">
        <v>36.26</v>
      </c>
      <c r="K308">
        <v>3.6259999999999999</v>
      </c>
    </row>
    <row r="309" spans="10:11" x14ac:dyDescent="0.3">
      <c r="J309" s="5">
        <v>36.36</v>
      </c>
      <c r="K309">
        <v>10.908000000000001</v>
      </c>
    </row>
    <row r="310" spans="10:11" x14ac:dyDescent="0.3">
      <c r="J310" s="5">
        <v>36.51</v>
      </c>
      <c r="K310">
        <v>16.429500000000001</v>
      </c>
    </row>
    <row r="311" spans="10:11" x14ac:dyDescent="0.3">
      <c r="J311" s="5">
        <v>36.770000000000003</v>
      </c>
      <c r="K311">
        <v>12.8695</v>
      </c>
    </row>
    <row r="312" spans="10:11" x14ac:dyDescent="0.3">
      <c r="J312" s="5">
        <v>36.85</v>
      </c>
      <c r="K312">
        <v>9.2125000000000004</v>
      </c>
    </row>
    <row r="313" spans="10:11" x14ac:dyDescent="0.3">
      <c r="J313" s="5">
        <v>36.909999999999997</v>
      </c>
      <c r="K313">
        <v>12.9185</v>
      </c>
    </row>
    <row r="314" spans="10:11" x14ac:dyDescent="0.3">
      <c r="J314" s="5">
        <v>36.979999999999997</v>
      </c>
      <c r="K314">
        <v>18.489999999999998</v>
      </c>
    </row>
    <row r="315" spans="10:11" x14ac:dyDescent="0.3">
      <c r="J315" s="5">
        <v>37</v>
      </c>
      <c r="K315">
        <v>1.85</v>
      </c>
    </row>
    <row r="316" spans="10:11" x14ac:dyDescent="0.3">
      <c r="J316" s="5">
        <v>37.020000000000003</v>
      </c>
      <c r="K316">
        <v>11.106</v>
      </c>
    </row>
    <row r="317" spans="10:11" x14ac:dyDescent="0.3">
      <c r="J317" s="5">
        <v>37.06</v>
      </c>
      <c r="K317">
        <v>7.4119999999999999</v>
      </c>
    </row>
    <row r="318" spans="10:11" x14ac:dyDescent="0.3">
      <c r="J318" s="5">
        <v>37.14</v>
      </c>
      <c r="K318">
        <v>9.2850000000000001</v>
      </c>
    </row>
    <row r="319" spans="10:11" x14ac:dyDescent="0.3">
      <c r="J319" s="5">
        <v>37.15</v>
      </c>
      <c r="K319">
        <v>20.432499999999997</v>
      </c>
    </row>
    <row r="320" spans="10:11" x14ac:dyDescent="0.3">
      <c r="J320" s="5">
        <v>37.32</v>
      </c>
      <c r="K320">
        <v>16.794</v>
      </c>
    </row>
    <row r="321" spans="10:11" x14ac:dyDescent="0.3">
      <c r="J321" s="5">
        <v>37.44</v>
      </c>
      <c r="K321">
        <v>11.231999999999999</v>
      </c>
    </row>
    <row r="322" spans="10:11" x14ac:dyDescent="0.3">
      <c r="J322" s="5">
        <v>37.479999999999997</v>
      </c>
      <c r="K322">
        <v>5.6219999999999999</v>
      </c>
    </row>
    <row r="323" spans="10:11" x14ac:dyDescent="0.3">
      <c r="J323" s="5">
        <v>37.549999999999997</v>
      </c>
      <c r="K323">
        <v>18.774999999999999</v>
      </c>
    </row>
    <row r="324" spans="10:11" x14ac:dyDescent="0.3">
      <c r="J324" s="5">
        <v>37.69</v>
      </c>
      <c r="K324">
        <v>3.7690000000000001</v>
      </c>
    </row>
    <row r="325" spans="10:11" x14ac:dyDescent="0.3">
      <c r="J325" s="5">
        <v>37.950000000000003</v>
      </c>
      <c r="K325">
        <v>18.975000000000001</v>
      </c>
    </row>
    <row r="326" spans="10:11" x14ac:dyDescent="0.3">
      <c r="J326" s="5">
        <v>38.270000000000003</v>
      </c>
      <c r="K326">
        <v>3.827</v>
      </c>
    </row>
    <row r="327" spans="10:11" x14ac:dyDescent="0.3">
      <c r="J327" s="5">
        <v>38.299999999999997</v>
      </c>
      <c r="K327">
        <v>7.66</v>
      </c>
    </row>
    <row r="328" spans="10:11" x14ac:dyDescent="0.3">
      <c r="J328" s="5">
        <v>38.42</v>
      </c>
      <c r="K328">
        <v>1.921</v>
      </c>
    </row>
    <row r="329" spans="10:11" x14ac:dyDescent="0.3">
      <c r="J329" s="5">
        <v>38.47</v>
      </c>
      <c r="K329">
        <v>15.388</v>
      </c>
    </row>
    <row r="330" spans="10:11" x14ac:dyDescent="0.3">
      <c r="J330" s="5">
        <v>38.54</v>
      </c>
      <c r="K330">
        <v>9.6349999999999998</v>
      </c>
    </row>
    <row r="331" spans="10:11" x14ac:dyDescent="0.3">
      <c r="J331" s="5">
        <v>38.6</v>
      </c>
      <c r="K331">
        <v>7.72</v>
      </c>
    </row>
    <row r="332" spans="10:11" x14ac:dyDescent="0.3">
      <c r="J332" s="5">
        <v>38.72</v>
      </c>
      <c r="K332">
        <v>17.423999999999999</v>
      </c>
    </row>
    <row r="333" spans="10:11" x14ac:dyDescent="0.3">
      <c r="J333" s="5">
        <v>38.81</v>
      </c>
      <c r="K333">
        <v>7.7619999999999996</v>
      </c>
    </row>
    <row r="334" spans="10:11" x14ac:dyDescent="0.3">
      <c r="J334" s="5">
        <v>39.01</v>
      </c>
      <c r="K334">
        <v>1.9504999999999999</v>
      </c>
    </row>
    <row r="335" spans="10:11" x14ac:dyDescent="0.3">
      <c r="J335" s="5">
        <v>39.119999999999997</v>
      </c>
      <c r="K335">
        <v>1.956</v>
      </c>
    </row>
    <row r="336" spans="10:11" x14ac:dyDescent="0.3">
      <c r="J336" s="5">
        <v>39.21</v>
      </c>
      <c r="K336">
        <v>7.8419999999999996</v>
      </c>
    </row>
    <row r="337" spans="10:11" x14ac:dyDescent="0.3">
      <c r="J337" s="5">
        <v>39.39</v>
      </c>
      <c r="K337">
        <v>9.8475000000000001</v>
      </c>
    </row>
    <row r="338" spans="10:11" x14ac:dyDescent="0.3">
      <c r="J338" s="5">
        <v>39.42</v>
      </c>
      <c r="K338">
        <v>1.9710000000000001</v>
      </c>
    </row>
    <row r="339" spans="10:11" x14ac:dyDescent="0.3">
      <c r="J339" s="5">
        <v>39.43</v>
      </c>
      <c r="K339">
        <v>11.829000000000001</v>
      </c>
    </row>
    <row r="340" spans="10:11" x14ac:dyDescent="0.3">
      <c r="J340" s="5">
        <v>39.47</v>
      </c>
      <c r="K340">
        <v>3.9470000000000001</v>
      </c>
    </row>
    <row r="341" spans="10:11" x14ac:dyDescent="0.3">
      <c r="J341" s="5">
        <v>39.479999999999997</v>
      </c>
      <c r="K341">
        <v>1.974</v>
      </c>
    </row>
    <row r="342" spans="10:11" x14ac:dyDescent="0.3">
      <c r="J342" s="5">
        <v>39.619999999999997</v>
      </c>
      <c r="K342">
        <v>31.696000000000002</v>
      </c>
    </row>
    <row r="343" spans="10:11" x14ac:dyDescent="0.3">
      <c r="J343" s="5">
        <v>39.75</v>
      </c>
      <c r="K343">
        <v>11.925000000000001</v>
      </c>
    </row>
    <row r="344" spans="10:11" x14ac:dyDescent="0.3">
      <c r="J344" s="5">
        <v>39.9</v>
      </c>
      <c r="K344">
        <v>19.95</v>
      </c>
    </row>
    <row r="345" spans="10:11" x14ac:dyDescent="0.3">
      <c r="J345" s="5">
        <v>39.909999999999997</v>
      </c>
      <c r="K345">
        <v>5.9865000000000004</v>
      </c>
    </row>
    <row r="346" spans="10:11" x14ac:dyDescent="0.3">
      <c r="J346" s="5">
        <v>40.049999999999997</v>
      </c>
      <c r="K346">
        <v>8.01</v>
      </c>
    </row>
    <row r="347" spans="10:11" x14ac:dyDescent="0.3">
      <c r="J347" s="5">
        <v>40.229999999999997</v>
      </c>
      <c r="K347">
        <v>14.080500000000001</v>
      </c>
    </row>
    <row r="348" spans="10:11" x14ac:dyDescent="0.3">
      <c r="J348" s="5">
        <v>40.26</v>
      </c>
      <c r="K348">
        <v>20.13</v>
      </c>
    </row>
    <row r="349" spans="10:11" x14ac:dyDescent="0.3">
      <c r="J349" s="5">
        <v>40.299999999999997</v>
      </c>
      <c r="K349">
        <v>24.18</v>
      </c>
    </row>
    <row r="350" spans="10:11" x14ac:dyDescent="0.3">
      <c r="J350" s="5">
        <v>40.35</v>
      </c>
      <c r="K350">
        <v>2.0175000000000001</v>
      </c>
    </row>
    <row r="351" spans="10:11" x14ac:dyDescent="0.3">
      <c r="J351" s="5">
        <v>40.520000000000003</v>
      </c>
      <c r="K351">
        <v>10.130000000000001</v>
      </c>
    </row>
    <row r="352" spans="10:11" x14ac:dyDescent="0.3">
      <c r="J352" s="5">
        <v>40.61</v>
      </c>
      <c r="K352">
        <v>18.2745</v>
      </c>
    </row>
    <row r="353" spans="10:11" x14ac:dyDescent="0.3">
      <c r="J353" s="5">
        <v>40.619999999999997</v>
      </c>
      <c r="K353">
        <v>4.0620000000000003</v>
      </c>
    </row>
    <row r="354" spans="10:11" x14ac:dyDescent="0.3">
      <c r="J354" s="5">
        <v>40.729999999999997</v>
      </c>
      <c r="K354">
        <v>14.2555</v>
      </c>
    </row>
    <row r="355" spans="10:11" x14ac:dyDescent="0.3">
      <c r="J355" s="5">
        <v>40.86</v>
      </c>
      <c r="K355">
        <v>16.344000000000001</v>
      </c>
    </row>
    <row r="356" spans="10:11" x14ac:dyDescent="0.3">
      <c r="J356" s="5">
        <v>40.94</v>
      </c>
      <c r="K356">
        <v>10.234999999999999</v>
      </c>
    </row>
    <row r="357" spans="10:11" x14ac:dyDescent="0.3">
      <c r="J357" s="5">
        <v>41.06</v>
      </c>
      <c r="K357">
        <v>12.318</v>
      </c>
    </row>
    <row r="358" spans="10:11" x14ac:dyDescent="0.3">
      <c r="J358" s="5">
        <v>41.09</v>
      </c>
      <c r="K358">
        <v>20.545000000000002</v>
      </c>
    </row>
    <row r="359" spans="10:11" x14ac:dyDescent="0.3">
      <c r="J359" s="5">
        <v>41.24</v>
      </c>
      <c r="K359">
        <v>8.2479999999999993</v>
      </c>
    </row>
    <row r="360" spans="10:11" x14ac:dyDescent="0.3">
      <c r="J360" s="5">
        <v>41.28</v>
      </c>
      <c r="K360">
        <v>6.1920000000000002</v>
      </c>
    </row>
    <row r="361" spans="10:11" x14ac:dyDescent="0.3">
      <c r="J361" s="5">
        <v>41.5</v>
      </c>
      <c r="K361">
        <v>8.3000000000000007</v>
      </c>
    </row>
    <row r="362" spans="10:11" x14ac:dyDescent="0.3">
      <c r="J362" s="5">
        <v>41.65</v>
      </c>
      <c r="K362">
        <v>20.824999999999999</v>
      </c>
    </row>
    <row r="363" spans="10:11" x14ac:dyDescent="0.3">
      <c r="J363" s="5">
        <v>41.66</v>
      </c>
      <c r="K363">
        <v>12.497999999999999</v>
      </c>
    </row>
    <row r="364" spans="10:11" x14ac:dyDescent="0.3">
      <c r="J364" s="5">
        <v>42.08</v>
      </c>
      <c r="K364">
        <v>12.624000000000001</v>
      </c>
    </row>
    <row r="365" spans="10:11" x14ac:dyDescent="0.3">
      <c r="J365" s="5">
        <v>42.42</v>
      </c>
      <c r="K365">
        <v>16.968</v>
      </c>
    </row>
    <row r="366" spans="10:11" x14ac:dyDescent="0.3">
      <c r="J366" s="5">
        <v>42.47</v>
      </c>
      <c r="K366">
        <v>2.1234999999999999</v>
      </c>
    </row>
    <row r="367" spans="10:11" x14ac:dyDescent="0.3">
      <c r="J367" s="5">
        <v>42.57</v>
      </c>
      <c r="K367">
        <v>31.927499999999998</v>
      </c>
    </row>
    <row r="368" spans="10:11" x14ac:dyDescent="0.3">
      <c r="J368" s="5">
        <v>42.82</v>
      </c>
      <c r="K368">
        <v>19.268999999999998</v>
      </c>
    </row>
    <row r="369" spans="10:11" x14ac:dyDescent="0.3">
      <c r="J369" s="5">
        <v>42.85</v>
      </c>
      <c r="K369">
        <v>2.1425000000000001</v>
      </c>
    </row>
    <row r="370" spans="10:11" x14ac:dyDescent="0.3">
      <c r="J370" s="5">
        <v>42.91</v>
      </c>
      <c r="K370">
        <v>10.727499999999999</v>
      </c>
    </row>
    <row r="371" spans="10:11" x14ac:dyDescent="0.3">
      <c r="J371" s="5">
        <v>42.97</v>
      </c>
      <c r="K371">
        <v>6.4455</v>
      </c>
    </row>
    <row r="372" spans="10:11" x14ac:dyDescent="0.3">
      <c r="J372" s="5">
        <v>43</v>
      </c>
      <c r="K372">
        <v>8.6</v>
      </c>
    </row>
    <row r="373" spans="10:11" x14ac:dyDescent="0.3">
      <c r="J373" s="5">
        <v>43.06</v>
      </c>
      <c r="K373">
        <v>10.765000000000001</v>
      </c>
    </row>
    <row r="374" spans="10:11" x14ac:dyDescent="0.3">
      <c r="J374" s="5">
        <v>43.13</v>
      </c>
      <c r="K374">
        <v>21.565000000000001</v>
      </c>
    </row>
    <row r="375" spans="10:11" x14ac:dyDescent="0.3">
      <c r="J375" s="5">
        <v>43.18</v>
      </c>
      <c r="K375">
        <v>17.271999999999998</v>
      </c>
    </row>
    <row r="376" spans="10:11" x14ac:dyDescent="0.3">
      <c r="J376" s="5">
        <v>43.19</v>
      </c>
      <c r="K376">
        <v>21.594999999999999</v>
      </c>
    </row>
    <row r="377" spans="10:11" x14ac:dyDescent="0.3">
      <c r="J377" s="5">
        <v>43.25</v>
      </c>
      <c r="K377">
        <v>4.3250000000000002</v>
      </c>
    </row>
    <row r="378" spans="10:11" x14ac:dyDescent="0.3">
      <c r="J378" s="5">
        <v>43.27</v>
      </c>
      <c r="K378">
        <v>4.327</v>
      </c>
    </row>
    <row r="379" spans="10:11" x14ac:dyDescent="0.3">
      <c r="J379" s="5">
        <v>43.46</v>
      </c>
      <c r="K379">
        <v>13.038</v>
      </c>
    </row>
    <row r="380" spans="10:11" x14ac:dyDescent="0.3">
      <c r="J380" s="5">
        <v>43.7</v>
      </c>
      <c r="K380">
        <v>4.37</v>
      </c>
    </row>
    <row r="381" spans="10:11" x14ac:dyDescent="0.3">
      <c r="J381" s="5">
        <v>44.01</v>
      </c>
      <c r="K381">
        <v>17.603999999999999</v>
      </c>
    </row>
    <row r="382" spans="10:11" x14ac:dyDescent="0.3">
      <c r="J382" s="5">
        <v>44.02</v>
      </c>
      <c r="K382">
        <v>22.01</v>
      </c>
    </row>
    <row r="383" spans="10:11" x14ac:dyDescent="0.3">
      <c r="J383" s="5">
        <v>44.07</v>
      </c>
      <c r="K383">
        <v>8.8140000000000001</v>
      </c>
    </row>
    <row r="384" spans="10:11" x14ac:dyDescent="0.3">
      <c r="J384" s="5">
        <v>44.12</v>
      </c>
      <c r="K384">
        <v>6.6180000000000003</v>
      </c>
    </row>
    <row r="385" spans="10:11" x14ac:dyDescent="0.3">
      <c r="J385" s="5">
        <v>44.22</v>
      </c>
      <c r="K385">
        <v>11.055</v>
      </c>
    </row>
    <row r="386" spans="10:11" x14ac:dyDescent="0.3">
      <c r="J386" s="5">
        <v>44.34</v>
      </c>
      <c r="K386">
        <v>4.4340000000000002</v>
      </c>
    </row>
    <row r="387" spans="10:11" x14ac:dyDescent="0.3">
      <c r="J387" s="5">
        <v>44.59</v>
      </c>
      <c r="K387">
        <v>11.147500000000001</v>
      </c>
    </row>
    <row r="388" spans="10:11" x14ac:dyDescent="0.3">
      <c r="J388" s="5">
        <v>44.63</v>
      </c>
      <c r="K388">
        <v>13.388999999999999</v>
      </c>
    </row>
    <row r="389" spans="10:11" x14ac:dyDescent="0.3">
      <c r="J389" s="5">
        <v>44.65</v>
      </c>
      <c r="K389">
        <v>6.6974999999999998</v>
      </c>
    </row>
    <row r="390" spans="10:11" x14ac:dyDescent="0.3">
      <c r="J390" s="5">
        <v>44.84</v>
      </c>
      <c r="K390">
        <v>20.178000000000001</v>
      </c>
    </row>
    <row r="391" spans="10:11" x14ac:dyDescent="0.3">
      <c r="J391" s="5">
        <v>44.86</v>
      </c>
      <c r="K391">
        <v>22.43</v>
      </c>
    </row>
    <row r="392" spans="10:11" x14ac:dyDescent="0.3">
      <c r="J392" s="5">
        <v>45.35</v>
      </c>
      <c r="K392">
        <v>13.605</v>
      </c>
    </row>
    <row r="393" spans="10:11" x14ac:dyDescent="0.3">
      <c r="J393" s="5">
        <v>45.38</v>
      </c>
      <c r="K393">
        <v>15.883000000000001</v>
      </c>
    </row>
    <row r="394" spans="10:11" x14ac:dyDescent="0.3">
      <c r="J394" s="5">
        <v>45.44</v>
      </c>
      <c r="K394">
        <v>15.904</v>
      </c>
    </row>
    <row r="395" spans="10:11" x14ac:dyDescent="0.3">
      <c r="J395" s="5">
        <v>45.48</v>
      </c>
      <c r="K395">
        <v>22.74</v>
      </c>
    </row>
    <row r="396" spans="10:11" x14ac:dyDescent="0.3">
      <c r="J396" s="5">
        <v>45.58</v>
      </c>
      <c r="K396">
        <v>18.231999999999999</v>
      </c>
    </row>
    <row r="397" spans="10:11" x14ac:dyDescent="0.3">
      <c r="J397" s="5">
        <v>45.68</v>
      </c>
      <c r="K397">
        <v>22.84</v>
      </c>
    </row>
    <row r="398" spans="10:11" x14ac:dyDescent="0.3">
      <c r="J398" s="5">
        <v>45.71</v>
      </c>
      <c r="K398">
        <v>6.8564999999999996</v>
      </c>
    </row>
    <row r="399" spans="10:11" x14ac:dyDescent="0.3">
      <c r="J399" s="5">
        <v>45.74</v>
      </c>
      <c r="K399">
        <v>6.8609999999999998</v>
      </c>
    </row>
    <row r="400" spans="10:11" x14ac:dyDescent="0.3">
      <c r="J400" s="5">
        <v>45.79</v>
      </c>
      <c r="K400">
        <v>16.026499999999999</v>
      </c>
    </row>
    <row r="401" spans="10:11" x14ac:dyDescent="0.3">
      <c r="J401" s="5">
        <v>45.97</v>
      </c>
      <c r="K401">
        <v>9.1940000000000008</v>
      </c>
    </row>
    <row r="402" spans="10:11" x14ac:dyDescent="0.3">
      <c r="J402" s="5">
        <v>46.02</v>
      </c>
      <c r="K402">
        <v>13.805999999999999</v>
      </c>
    </row>
    <row r="403" spans="10:11" x14ac:dyDescent="0.3">
      <c r="J403" s="5">
        <v>46.2</v>
      </c>
      <c r="K403">
        <v>2.31</v>
      </c>
    </row>
    <row r="404" spans="10:11" x14ac:dyDescent="0.3">
      <c r="J404" s="5">
        <v>46.22</v>
      </c>
      <c r="K404">
        <v>9.2439999999999998</v>
      </c>
    </row>
    <row r="405" spans="10:11" x14ac:dyDescent="0.3">
      <c r="J405" s="5">
        <v>46.26</v>
      </c>
      <c r="K405">
        <v>13.878</v>
      </c>
    </row>
    <row r="406" spans="10:11" x14ac:dyDescent="0.3">
      <c r="J406" s="5">
        <v>46.33</v>
      </c>
      <c r="K406">
        <v>16.215499999999999</v>
      </c>
    </row>
    <row r="407" spans="10:11" x14ac:dyDescent="0.3">
      <c r="J407" s="5">
        <v>46.41</v>
      </c>
      <c r="K407">
        <v>2.3205</v>
      </c>
    </row>
    <row r="408" spans="10:11" x14ac:dyDescent="0.3">
      <c r="J408" s="5">
        <v>46.42</v>
      </c>
      <c r="K408">
        <v>6.9630000000000001</v>
      </c>
    </row>
    <row r="409" spans="10:11" x14ac:dyDescent="0.3">
      <c r="J409" s="5">
        <v>46.47</v>
      </c>
      <c r="K409">
        <v>9.2940000000000005</v>
      </c>
    </row>
    <row r="410" spans="10:11" x14ac:dyDescent="0.3">
      <c r="J410" s="5">
        <v>46.53</v>
      </c>
      <c r="K410">
        <v>13.959</v>
      </c>
    </row>
    <row r="411" spans="10:11" x14ac:dyDescent="0.3">
      <c r="J411" s="5">
        <v>46.55</v>
      </c>
      <c r="K411">
        <v>20.947500000000002</v>
      </c>
    </row>
    <row r="412" spans="10:11" x14ac:dyDescent="0.3">
      <c r="J412" s="5">
        <v>46.57</v>
      </c>
      <c r="K412">
        <v>23.285</v>
      </c>
    </row>
    <row r="413" spans="10:11" x14ac:dyDescent="0.3">
      <c r="J413" s="5">
        <v>46.61</v>
      </c>
      <c r="K413">
        <v>4.6609999999999996</v>
      </c>
    </row>
    <row r="414" spans="10:11" x14ac:dyDescent="0.3">
      <c r="J414" s="5">
        <v>46.66</v>
      </c>
      <c r="K414">
        <v>20.997</v>
      </c>
    </row>
    <row r="415" spans="10:11" x14ac:dyDescent="0.3">
      <c r="J415" s="5">
        <v>46.77</v>
      </c>
      <c r="K415">
        <v>14.031000000000001</v>
      </c>
    </row>
    <row r="416" spans="10:11" x14ac:dyDescent="0.3">
      <c r="J416" s="5">
        <v>46.95</v>
      </c>
      <c r="K416">
        <v>11.737500000000001</v>
      </c>
    </row>
    <row r="417" spans="10:11" x14ac:dyDescent="0.3">
      <c r="J417" s="5">
        <v>47.16</v>
      </c>
      <c r="K417">
        <v>11.79</v>
      </c>
    </row>
    <row r="418" spans="10:11" x14ac:dyDescent="0.3">
      <c r="J418" s="5">
        <v>47.27</v>
      </c>
      <c r="K418">
        <v>14.180999999999999</v>
      </c>
    </row>
    <row r="419" spans="10:11" x14ac:dyDescent="0.3">
      <c r="J419" s="5">
        <v>47.38</v>
      </c>
      <c r="K419">
        <v>9.4760000000000009</v>
      </c>
    </row>
    <row r="420" spans="10:11" x14ac:dyDescent="0.3">
      <c r="J420" s="5">
        <v>47.44</v>
      </c>
      <c r="K420">
        <v>2.3719999999999999</v>
      </c>
    </row>
    <row r="421" spans="10:11" x14ac:dyDescent="0.3">
      <c r="J421" s="5">
        <v>47.59</v>
      </c>
      <c r="K421">
        <v>19.036000000000001</v>
      </c>
    </row>
    <row r="422" spans="10:11" x14ac:dyDescent="0.3">
      <c r="J422" s="5">
        <v>47.63</v>
      </c>
      <c r="K422">
        <v>21.433499999999999</v>
      </c>
    </row>
    <row r="423" spans="10:11" x14ac:dyDescent="0.3">
      <c r="J423" s="5">
        <v>47.65</v>
      </c>
      <c r="K423">
        <v>7.1475</v>
      </c>
    </row>
    <row r="424" spans="10:11" x14ac:dyDescent="0.3">
      <c r="J424" s="5">
        <v>47.67</v>
      </c>
      <c r="K424">
        <v>9.5340000000000007</v>
      </c>
    </row>
    <row r="425" spans="10:11" x14ac:dyDescent="0.3">
      <c r="J425" s="5">
        <v>47.68</v>
      </c>
      <c r="K425">
        <v>4.7679999999999998</v>
      </c>
    </row>
    <row r="426" spans="10:11" x14ac:dyDescent="0.3">
      <c r="J426" s="5">
        <v>47.71</v>
      </c>
      <c r="K426">
        <v>14.313000000000001</v>
      </c>
    </row>
    <row r="427" spans="10:11" x14ac:dyDescent="0.3">
      <c r="J427" s="5">
        <v>47.97</v>
      </c>
      <c r="K427">
        <v>16.7895</v>
      </c>
    </row>
    <row r="428" spans="10:11" x14ac:dyDescent="0.3">
      <c r="J428" s="5">
        <v>48.09</v>
      </c>
      <c r="K428">
        <v>7.2134999999999998</v>
      </c>
    </row>
    <row r="429" spans="10:11" x14ac:dyDescent="0.3">
      <c r="J429" s="5">
        <v>48.5</v>
      </c>
      <c r="K429">
        <v>21.825000000000003</v>
      </c>
    </row>
    <row r="430" spans="10:11" x14ac:dyDescent="0.3">
      <c r="J430" s="5">
        <v>48.51</v>
      </c>
      <c r="K430">
        <v>16.9785</v>
      </c>
    </row>
    <row r="431" spans="10:11" x14ac:dyDescent="0.3">
      <c r="J431" s="5">
        <v>48.52</v>
      </c>
      <c r="K431">
        <v>7.2779999999999996</v>
      </c>
    </row>
    <row r="432" spans="10:11" x14ac:dyDescent="0.3">
      <c r="J432" s="5">
        <v>48.61</v>
      </c>
      <c r="K432">
        <v>2.4304999999999999</v>
      </c>
    </row>
    <row r="433" spans="10:11" x14ac:dyDescent="0.3">
      <c r="J433" s="5">
        <v>48.62</v>
      </c>
      <c r="K433">
        <v>19.448</v>
      </c>
    </row>
    <row r="434" spans="10:11" x14ac:dyDescent="0.3">
      <c r="J434" s="5">
        <v>48.63</v>
      </c>
      <c r="K434">
        <v>34.041000000000004</v>
      </c>
    </row>
    <row r="435" spans="10:11" x14ac:dyDescent="0.3">
      <c r="J435" s="5">
        <v>48.71</v>
      </c>
      <c r="K435">
        <v>2.4355000000000002</v>
      </c>
    </row>
    <row r="436" spans="10:11" x14ac:dyDescent="0.3">
      <c r="J436" s="5">
        <v>48.91</v>
      </c>
      <c r="K436">
        <v>12.227499999999999</v>
      </c>
    </row>
    <row r="437" spans="10:11" x14ac:dyDescent="0.3">
      <c r="J437" s="5">
        <v>48.96</v>
      </c>
      <c r="K437">
        <v>22.032</v>
      </c>
    </row>
    <row r="438" spans="10:11" x14ac:dyDescent="0.3">
      <c r="J438" s="5">
        <v>49.01</v>
      </c>
      <c r="K438">
        <v>24.504999999999999</v>
      </c>
    </row>
    <row r="439" spans="10:11" x14ac:dyDescent="0.3">
      <c r="J439" s="5">
        <v>49.04</v>
      </c>
      <c r="K439">
        <v>22.068000000000001</v>
      </c>
    </row>
    <row r="440" spans="10:11" x14ac:dyDescent="0.3">
      <c r="J440" s="5">
        <v>49.1</v>
      </c>
      <c r="K440">
        <v>4.91</v>
      </c>
    </row>
    <row r="441" spans="10:11" x14ac:dyDescent="0.3">
      <c r="J441" s="5">
        <v>49.32</v>
      </c>
      <c r="K441">
        <v>14.795999999999999</v>
      </c>
    </row>
    <row r="442" spans="10:11" x14ac:dyDescent="0.3">
      <c r="J442" s="5">
        <v>49.33</v>
      </c>
      <c r="K442">
        <v>24.664999999999999</v>
      </c>
    </row>
    <row r="443" spans="10:11" x14ac:dyDescent="0.3">
      <c r="J443" s="5">
        <v>49.38</v>
      </c>
      <c r="K443">
        <v>17.283000000000001</v>
      </c>
    </row>
    <row r="444" spans="10:11" x14ac:dyDescent="0.3">
      <c r="J444" s="5">
        <v>49.49</v>
      </c>
      <c r="K444">
        <v>9.8979999999999997</v>
      </c>
    </row>
    <row r="445" spans="10:11" x14ac:dyDescent="0.3">
      <c r="J445" s="5">
        <v>49.79</v>
      </c>
      <c r="K445">
        <v>9.9580000000000002</v>
      </c>
    </row>
    <row r="446" spans="10:11" x14ac:dyDescent="0.3">
      <c r="J446" s="5">
        <v>49.92</v>
      </c>
      <c r="K446">
        <v>4.992</v>
      </c>
    </row>
    <row r="447" spans="10:11" x14ac:dyDescent="0.3">
      <c r="J447" s="5">
        <v>50.23</v>
      </c>
      <c r="K447">
        <v>10.045999999999999</v>
      </c>
    </row>
    <row r="448" spans="10:11" x14ac:dyDescent="0.3">
      <c r="J448" s="5">
        <v>50.28</v>
      </c>
      <c r="K448">
        <v>12.57</v>
      </c>
    </row>
    <row r="449" spans="10:11" x14ac:dyDescent="0.3">
      <c r="J449" s="5">
        <v>50.45</v>
      </c>
      <c r="K449">
        <v>15.135</v>
      </c>
    </row>
    <row r="450" spans="10:11" x14ac:dyDescent="0.3">
      <c r="J450" s="5">
        <v>50.49</v>
      </c>
      <c r="K450">
        <v>22.720500000000001</v>
      </c>
    </row>
    <row r="451" spans="10:11" x14ac:dyDescent="0.3">
      <c r="J451" s="5">
        <v>50.79</v>
      </c>
      <c r="K451">
        <v>12.6975</v>
      </c>
    </row>
    <row r="452" spans="10:11" x14ac:dyDescent="0.3">
      <c r="J452" s="5">
        <v>50.93</v>
      </c>
      <c r="K452">
        <v>20.372</v>
      </c>
    </row>
    <row r="453" spans="10:11" x14ac:dyDescent="0.3">
      <c r="J453" s="5">
        <v>51.07</v>
      </c>
      <c r="K453">
        <v>17.874500000000001</v>
      </c>
    </row>
    <row r="454" spans="10:11" x14ac:dyDescent="0.3">
      <c r="J454" s="5">
        <v>51.13</v>
      </c>
      <c r="K454">
        <v>10.226000000000001</v>
      </c>
    </row>
    <row r="455" spans="10:11" x14ac:dyDescent="0.3">
      <c r="J455" s="5">
        <v>51.19</v>
      </c>
      <c r="K455">
        <v>10.238</v>
      </c>
    </row>
    <row r="456" spans="10:11" x14ac:dyDescent="0.3">
      <c r="J456" s="5">
        <v>51.28</v>
      </c>
      <c r="K456">
        <v>15.384</v>
      </c>
    </row>
    <row r="457" spans="10:11" x14ac:dyDescent="0.3">
      <c r="J457" s="5">
        <v>51.32</v>
      </c>
      <c r="K457">
        <v>23.094000000000001</v>
      </c>
    </row>
    <row r="458" spans="10:11" x14ac:dyDescent="0.3">
      <c r="J458" s="5">
        <v>51.34</v>
      </c>
      <c r="K458">
        <v>33.371000000000002</v>
      </c>
    </row>
    <row r="459" spans="10:11" x14ac:dyDescent="0.3">
      <c r="J459" s="5">
        <v>51.36</v>
      </c>
      <c r="K459">
        <v>2.5680000000000001</v>
      </c>
    </row>
    <row r="460" spans="10:11" x14ac:dyDescent="0.3">
      <c r="J460" s="5">
        <v>51.47</v>
      </c>
      <c r="K460">
        <v>2.5735000000000001</v>
      </c>
    </row>
    <row r="461" spans="10:11" x14ac:dyDescent="0.3">
      <c r="J461" s="5">
        <v>51.52</v>
      </c>
      <c r="K461">
        <v>20.608000000000001</v>
      </c>
    </row>
    <row r="462" spans="10:11" x14ac:dyDescent="0.3">
      <c r="J462" s="5">
        <v>51.54</v>
      </c>
      <c r="K462">
        <v>12.885</v>
      </c>
    </row>
    <row r="463" spans="10:11" x14ac:dyDescent="0.3">
      <c r="J463" s="5">
        <v>51.69</v>
      </c>
      <c r="K463">
        <v>18.0915</v>
      </c>
    </row>
    <row r="464" spans="10:11" x14ac:dyDescent="0.3">
      <c r="J464" s="5">
        <v>51.71</v>
      </c>
      <c r="K464">
        <v>10.342000000000001</v>
      </c>
    </row>
    <row r="465" spans="10:11" x14ac:dyDescent="0.3">
      <c r="J465" s="5">
        <v>51.89</v>
      </c>
      <c r="K465">
        <v>18.1615</v>
      </c>
    </row>
    <row r="466" spans="10:11" x14ac:dyDescent="0.3">
      <c r="J466" s="5">
        <v>51.91</v>
      </c>
      <c r="K466">
        <v>25.954999999999998</v>
      </c>
    </row>
    <row r="467" spans="10:11" x14ac:dyDescent="0.3">
      <c r="J467" s="5">
        <v>51.92</v>
      </c>
      <c r="K467">
        <v>12.98</v>
      </c>
    </row>
    <row r="468" spans="10:11" x14ac:dyDescent="0.3">
      <c r="J468" s="5">
        <v>51.94</v>
      </c>
      <c r="K468">
        <v>33.760999999999996</v>
      </c>
    </row>
    <row r="469" spans="10:11" x14ac:dyDescent="0.3">
      <c r="J469" s="5">
        <v>52.18</v>
      </c>
      <c r="K469">
        <v>18.263000000000002</v>
      </c>
    </row>
    <row r="470" spans="10:11" x14ac:dyDescent="0.3">
      <c r="J470" s="5">
        <v>52.2</v>
      </c>
      <c r="K470">
        <v>7.83</v>
      </c>
    </row>
    <row r="471" spans="10:11" x14ac:dyDescent="0.3">
      <c r="J471" s="5">
        <v>52.26</v>
      </c>
      <c r="K471">
        <v>26.13</v>
      </c>
    </row>
    <row r="472" spans="10:11" x14ac:dyDescent="0.3">
      <c r="J472" s="5">
        <v>52.34</v>
      </c>
      <c r="K472">
        <v>7.851</v>
      </c>
    </row>
    <row r="473" spans="10:11" x14ac:dyDescent="0.3">
      <c r="J473" s="5">
        <v>52.35</v>
      </c>
      <c r="K473">
        <v>2.6175000000000002</v>
      </c>
    </row>
    <row r="474" spans="10:11" x14ac:dyDescent="0.3">
      <c r="J474" s="5">
        <v>52.38</v>
      </c>
      <c r="K474">
        <v>2.6190000000000002</v>
      </c>
    </row>
    <row r="475" spans="10:11" x14ac:dyDescent="0.3">
      <c r="J475" s="5">
        <v>52.42</v>
      </c>
      <c r="K475">
        <v>10.484</v>
      </c>
    </row>
    <row r="476" spans="10:11" x14ac:dyDescent="0.3">
      <c r="J476" s="5">
        <v>52.59</v>
      </c>
      <c r="K476">
        <v>21.036000000000001</v>
      </c>
    </row>
    <row r="477" spans="10:11" x14ac:dyDescent="0.3">
      <c r="J477" s="5">
        <v>52.6</v>
      </c>
      <c r="K477">
        <v>23.67</v>
      </c>
    </row>
    <row r="478" spans="10:11" x14ac:dyDescent="0.3">
      <c r="J478" s="5">
        <v>52.75</v>
      </c>
      <c r="K478">
        <v>7.9124999999999996</v>
      </c>
    </row>
    <row r="479" spans="10:11" x14ac:dyDescent="0.3">
      <c r="J479" s="5">
        <v>52.79</v>
      </c>
      <c r="K479">
        <v>26.395</v>
      </c>
    </row>
    <row r="480" spans="10:11" x14ac:dyDescent="0.3">
      <c r="J480" s="5">
        <v>52.89</v>
      </c>
      <c r="K480">
        <v>26.445</v>
      </c>
    </row>
    <row r="481" spans="10:11" x14ac:dyDescent="0.3">
      <c r="J481" s="5">
        <v>53.17</v>
      </c>
      <c r="K481">
        <v>18.609500000000001</v>
      </c>
    </row>
    <row r="482" spans="10:11" x14ac:dyDescent="0.3">
      <c r="J482" s="5">
        <v>53.19</v>
      </c>
      <c r="K482">
        <v>18.616499999999998</v>
      </c>
    </row>
    <row r="483" spans="10:11" x14ac:dyDescent="0.3">
      <c r="J483" s="5">
        <v>53.21</v>
      </c>
      <c r="K483">
        <v>21.283999999999999</v>
      </c>
    </row>
    <row r="484" spans="10:11" x14ac:dyDescent="0.3">
      <c r="J484" s="5">
        <v>53.3</v>
      </c>
      <c r="K484">
        <v>7.9950000000000001</v>
      </c>
    </row>
    <row r="485" spans="10:11" x14ac:dyDescent="0.3">
      <c r="J485" s="5">
        <v>53.44</v>
      </c>
      <c r="K485">
        <v>5.3440000000000003</v>
      </c>
    </row>
    <row r="486" spans="10:11" x14ac:dyDescent="0.3">
      <c r="J486" s="5">
        <v>53.65</v>
      </c>
      <c r="K486">
        <v>18.7775</v>
      </c>
    </row>
    <row r="487" spans="10:11" x14ac:dyDescent="0.3">
      <c r="J487" s="5">
        <v>53.72</v>
      </c>
      <c r="K487">
        <v>2.6859999999999999</v>
      </c>
    </row>
    <row r="488" spans="10:11" x14ac:dyDescent="0.3">
      <c r="J488" s="5">
        <v>53.78</v>
      </c>
      <c r="K488">
        <v>2.6890000000000001</v>
      </c>
    </row>
    <row r="489" spans="10:11" x14ac:dyDescent="0.3">
      <c r="J489" s="5">
        <v>54.07</v>
      </c>
      <c r="K489">
        <v>24.331499999999998</v>
      </c>
    </row>
    <row r="490" spans="10:11" x14ac:dyDescent="0.3">
      <c r="J490" s="5">
        <v>54.27</v>
      </c>
      <c r="K490">
        <v>13.567500000000001</v>
      </c>
    </row>
    <row r="491" spans="10:11" x14ac:dyDescent="0.3">
      <c r="J491" s="5">
        <v>54.28</v>
      </c>
      <c r="K491">
        <v>18.998000000000001</v>
      </c>
    </row>
    <row r="492" spans="10:11" x14ac:dyDescent="0.3">
      <c r="J492" s="5">
        <v>54.31</v>
      </c>
      <c r="K492">
        <v>24.439499999999999</v>
      </c>
    </row>
    <row r="493" spans="10:11" x14ac:dyDescent="0.3">
      <c r="J493" s="5">
        <v>54.36</v>
      </c>
      <c r="K493">
        <v>27.18</v>
      </c>
    </row>
    <row r="494" spans="10:11" x14ac:dyDescent="0.3">
      <c r="J494" s="5">
        <v>54.45</v>
      </c>
      <c r="K494">
        <v>2.7225000000000001</v>
      </c>
    </row>
    <row r="495" spans="10:11" x14ac:dyDescent="0.3">
      <c r="J495" s="5">
        <v>54.51</v>
      </c>
      <c r="K495">
        <v>16.353000000000002</v>
      </c>
    </row>
    <row r="496" spans="10:11" x14ac:dyDescent="0.3">
      <c r="J496" s="5">
        <v>54.55</v>
      </c>
      <c r="K496">
        <v>27.274999999999999</v>
      </c>
    </row>
    <row r="497" spans="10:11" x14ac:dyDescent="0.3">
      <c r="J497" s="5">
        <v>54.67</v>
      </c>
      <c r="K497">
        <v>8.2004999999999999</v>
      </c>
    </row>
    <row r="498" spans="10:11" x14ac:dyDescent="0.3">
      <c r="J498" s="5">
        <v>54.73</v>
      </c>
      <c r="K498">
        <v>19.1555</v>
      </c>
    </row>
    <row r="499" spans="10:11" x14ac:dyDescent="0.3">
      <c r="J499" s="5">
        <v>54.84</v>
      </c>
      <c r="K499">
        <v>8.2260000000000009</v>
      </c>
    </row>
    <row r="500" spans="10:11" x14ac:dyDescent="0.3">
      <c r="J500" s="5">
        <v>54.86</v>
      </c>
      <c r="K500">
        <v>13.715</v>
      </c>
    </row>
    <row r="501" spans="10:11" x14ac:dyDescent="0.3">
      <c r="J501" s="5">
        <v>54.92</v>
      </c>
      <c r="K501">
        <v>21.968</v>
      </c>
    </row>
    <row r="502" spans="10:11" x14ac:dyDescent="0.3">
      <c r="J502" s="5">
        <v>55.04</v>
      </c>
      <c r="K502">
        <v>19.263999999999999</v>
      </c>
    </row>
    <row r="503" spans="10:11" x14ac:dyDescent="0.3">
      <c r="J503" s="5">
        <v>55.07</v>
      </c>
      <c r="K503">
        <v>24.781500000000001</v>
      </c>
    </row>
    <row r="504" spans="10:11" x14ac:dyDescent="0.3">
      <c r="J504" s="5">
        <v>55.39</v>
      </c>
      <c r="K504">
        <v>11.077999999999999</v>
      </c>
    </row>
    <row r="505" spans="10:11" x14ac:dyDescent="0.3">
      <c r="J505" s="5">
        <v>55.45</v>
      </c>
      <c r="K505">
        <v>2.7725</v>
      </c>
    </row>
    <row r="506" spans="10:11" x14ac:dyDescent="0.3">
      <c r="J506" s="5">
        <v>55.5</v>
      </c>
      <c r="K506">
        <v>11.1</v>
      </c>
    </row>
    <row r="507" spans="10:11" x14ac:dyDescent="0.3">
      <c r="J507" s="5">
        <v>55.57</v>
      </c>
      <c r="K507">
        <v>8.3354999999999997</v>
      </c>
    </row>
    <row r="508" spans="10:11" x14ac:dyDescent="0.3">
      <c r="J508" s="5">
        <v>55.61</v>
      </c>
      <c r="K508">
        <v>19.4635</v>
      </c>
    </row>
    <row r="509" spans="10:11" x14ac:dyDescent="0.3">
      <c r="J509" s="5">
        <v>55.67</v>
      </c>
      <c r="K509">
        <v>5.5670000000000002</v>
      </c>
    </row>
    <row r="510" spans="10:11" x14ac:dyDescent="0.3">
      <c r="J510" s="5">
        <v>55.73</v>
      </c>
      <c r="K510">
        <v>16.719000000000001</v>
      </c>
    </row>
    <row r="511" spans="10:11" x14ac:dyDescent="0.3">
      <c r="J511" s="5">
        <v>55.81</v>
      </c>
      <c r="K511">
        <v>16.742999999999999</v>
      </c>
    </row>
    <row r="512" spans="10:11" x14ac:dyDescent="0.3">
      <c r="J512" s="5">
        <v>55.87</v>
      </c>
      <c r="K512">
        <v>27.934999999999999</v>
      </c>
    </row>
    <row r="513" spans="10:11" x14ac:dyDescent="0.3">
      <c r="J513" s="5">
        <v>55.97</v>
      </c>
      <c r="K513">
        <v>19.589500000000001</v>
      </c>
    </row>
    <row r="514" spans="10:11" x14ac:dyDescent="0.3">
      <c r="J514" s="5">
        <v>56</v>
      </c>
      <c r="K514">
        <v>8.4</v>
      </c>
    </row>
    <row r="515" spans="10:11" x14ac:dyDescent="0.3">
      <c r="J515" s="5">
        <v>56.04</v>
      </c>
      <c r="K515">
        <v>28.02</v>
      </c>
    </row>
    <row r="516" spans="10:11" x14ac:dyDescent="0.3">
      <c r="J516" s="5">
        <v>56.11</v>
      </c>
      <c r="K516">
        <v>5.6109999999999998</v>
      </c>
    </row>
    <row r="517" spans="10:11" x14ac:dyDescent="0.3">
      <c r="J517" s="5">
        <v>56.13</v>
      </c>
      <c r="K517">
        <v>11.226000000000001</v>
      </c>
    </row>
    <row r="518" spans="10:11" x14ac:dyDescent="0.3">
      <c r="J518" s="5">
        <v>56.47</v>
      </c>
      <c r="K518">
        <v>22.588000000000001</v>
      </c>
    </row>
    <row r="519" spans="10:11" x14ac:dyDescent="0.3">
      <c r="J519" s="5">
        <v>56.5</v>
      </c>
      <c r="K519">
        <v>2.8250000000000002</v>
      </c>
    </row>
    <row r="520" spans="10:11" x14ac:dyDescent="0.3">
      <c r="J520" s="5">
        <v>56.53</v>
      </c>
      <c r="K520">
        <v>11.305999999999999</v>
      </c>
    </row>
    <row r="521" spans="10:11" x14ac:dyDescent="0.3">
      <c r="J521" s="5">
        <v>56.56</v>
      </c>
      <c r="K521">
        <v>14.14</v>
      </c>
    </row>
    <row r="522" spans="10:11" x14ac:dyDescent="0.3">
      <c r="J522" s="5">
        <v>56.69</v>
      </c>
      <c r="K522">
        <v>25.5105</v>
      </c>
    </row>
    <row r="523" spans="10:11" x14ac:dyDescent="0.3">
      <c r="J523" s="5">
        <v>57.12</v>
      </c>
      <c r="K523">
        <v>19.992000000000001</v>
      </c>
    </row>
    <row r="524" spans="10:11" x14ac:dyDescent="0.3">
      <c r="J524" s="5">
        <v>57.22</v>
      </c>
      <c r="K524">
        <v>5.7220000000000004</v>
      </c>
    </row>
    <row r="525" spans="10:11" x14ac:dyDescent="0.3">
      <c r="J525" s="5">
        <v>57.27</v>
      </c>
      <c r="K525">
        <v>8.5905000000000005</v>
      </c>
    </row>
    <row r="526" spans="10:11" x14ac:dyDescent="0.3">
      <c r="J526" s="5">
        <v>57.29</v>
      </c>
      <c r="K526">
        <v>17.187000000000001</v>
      </c>
    </row>
    <row r="527" spans="10:11" x14ac:dyDescent="0.3">
      <c r="J527" s="5">
        <v>57.34</v>
      </c>
      <c r="K527">
        <v>8.6010000000000009</v>
      </c>
    </row>
    <row r="528" spans="10:11" x14ac:dyDescent="0.3">
      <c r="J528" s="5">
        <v>57.49</v>
      </c>
      <c r="K528">
        <v>11.497999999999999</v>
      </c>
    </row>
    <row r="529" spans="10:11" x14ac:dyDescent="0.3">
      <c r="J529" s="5">
        <v>57.59</v>
      </c>
      <c r="K529">
        <v>17.277000000000001</v>
      </c>
    </row>
    <row r="530" spans="10:11" x14ac:dyDescent="0.3">
      <c r="J530" s="5">
        <v>57.74</v>
      </c>
      <c r="K530">
        <v>8.6609999999999996</v>
      </c>
    </row>
    <row r="531" spans="10:11" x14ac:dyDescent="0.3">
      <c r="J531" s="5">
        <v>57.89</v>
      </c>
      <c r="K531">
        <v>5.7889999999999997</v>
      </c>
    </row>
    <row r="532" spans="10:11" x14ac:dyDescent="0.3">
      <c r="J532" s="5">
        <v>57.91</v>
      </c>
      <c r="K532">
        <v>23.164000000000001</v>
      </c>
    </row>
    <row r="533" spans="10:11" x14ac:dyDescent="0.3">
      <c r="J533" s="5">
        <v>57.95</v>
      </c>
      <c r="K533">
        <v>17.385000000000002</v>
      </c>
    </row>
    <row r="534" spans="10:11" x14ac:dyDescent="0.3">
      <c r="J534" s="5">
        <v>58.03</v>
      </c>
      <c r="K534">
        <v>5.8029999999999999</v>
      </c>
    </row>
    <row r="535" spans="10:11" x14ac:dyDescent="0.3">
      <c r="J535" s="5">
        <v>58.07</v>
      </c>
      <c r="K535">
        <v>26.131499999999999</v>
      </c>
    </row>
    <row r="536" spans="10:11" x14ac:dyDescent="0.3">
      <c r="J536" s="5">
        <v>58.15</v>
      </c>
      <c r="K536">
        <v>11.63</v>
      </c>
    </row>
    <row r="537" spans="10:11" x14ac:dyDescent="0.3">
      <c r="J537" s="5">
        <v>58.22</v>
      </c>
      <c r="K537">
        <v>23.288</v>
      </c>
    </row>
    <row r="538" spans="10:11" x14ac:dyDescent="0.3">
      <c r="J538" s="5">
        <v>58.24</v>
      </c>
      <c r="K538">
        <v>26.207999999999998</v>
      </c>
    </row>
    <row r="539" spans="10:11" x14ac:dyDescent="0.3">
      <c r="J539" s="5">
        <v>58.26</v>
      </c>
      <c r="K539">
        <v>17.478000000000002</v>
      </c>
    </row>
    <row r="540" spans="10:11" x14ac:dyDescent="0.3">
      <c r="J540" s="5">
        <v>58.32</v>
      </c>
      <c r="K540">
        <v>5.8319999999999999</v>
      </c>
    </row>
    <row r="541" spans="10:11" x14ac:dyDescent="0.3">
      <c r="J541" s="5">
        <v>58.39</v>
      </c>
      <c r="K541">
        <v>20.436499999999999</v>
      </c>
    </row>
    <row r="542" spans="10:11" x14ac:dyDescent="0.3">
      <c r="J542" s="5">
        <v>58.75</v>
      </c>
      <c r="K542">
        <v>17.625</v>
      </c>
    </row>
    <row r="543" spans="10:11" x14ac:dyDescent="0.3">
      <c r="J543" s="5">
        <v>58.76</v>
      </c>
      <c r="K543">
        <v>29.38</v>
      </c>
    </row>
    <row r="544" spans="10:11" x14ac:dyDescent="0.3">
      <c r="J544" s="5">
        <v>58.9</v>
      </c>
      <c r="K544">
        <v>23.56</v>
      </c>
    </row>
    <row r="545" spans="10:11" x14ac:dyDescent="0.3">
      <c r="J545" s="5">
        <v>58.91</v>
      </c>
      <c r="K545">
        <v>20.618500000000001</v>
      </c>
    </row>
    <row r="546" spans="10:11" x14ac:dyDescent="0.3">
      <c r="J546" s="5">
        <v>58.95</v>
      </c>
      <c r="K546">
        <v>29.475000000000001</v>
      </c>
    </row>
    <row r="547" spans="10:11" x14ac:dyDescent="0.3">
      <c r="J547" s="5">
        <v>59.59</v>
      </c>
      <c r="K547">
        <v>11.917999999999999</v>
      </c>
    </row>
    <row r="548" spans="10:11" x14ac:dyDescent="0.3">
      <c r="J548" s="5">
        <v>59.61</v>
      </c>
      <c r="K548">
        <v>29.805</v>
      </c>
    </row>
    <row r="549" spans="10:11" x14ac:dyDescent="0.3">
      <c r="J549" s="5">
        <v>59.77</v>
      </c>
      <c r="K549">
        <v>5.9770000000000003</v>
      </c>
    </row>
    <row r="550" spans="10:11" x14ac:dyDescent="0.3">
      <c r="J550" s="5">
        <v>59.86</v>
      </c>
      <c r="K550">
        <v>5.9859999999999998</v>
      </c>
    </row>
    <row r="551" spans="10:11" x14ac:dyDescent="0.3">
      <c r="J551" s="5">
        <v>60.01</v>
      </c>
      <c r="K551">
        <v>12.002000000000001</v>
      </c>
    </row>
    <row r="552" spans="10:11" x14ac:dyDescent="0.3">
      <c r="J552" s="5">
        <v>60.08</v>
      </c>
      <c r="K552">
        <v>21.027999999999999</v>
      </c>
    </row>
    <row r="553" spans="10:11" x14ac:dyDescent="0.3">
      <c r="J553" s="5">
        <v>60.18</v>
      </c>
      <c r="K553">
        <v>12.036</v>
      </c>
    </row>
    <row r="554" spans="10:11" x14ac:dyDescent="0.3">
      <c r="J554" s="5">
        <v>60.3</v>
      </c>
      <c r="K554">
        <v>15.075000000000001</v>
      </c>
    </row>
    <row r="555" spans="10:11" x14ac:dyDescent="0.3">
      <c r="J555" s="5">
        <v>60.38</v>
      </c>
      <c r="K555">
        <v>30.19</v>
      </c>
    </row>
    <row r="556" spans="10:11" x14ac:dyDescent="0.3">
      <c r="J556" s="5">
        <v>60.41</v>
      </c>
      <c r="K556">
        <v>24.164000000000001</v>
      </c>
    </row>
    <row r="557" spans="10:11" x14ac:dyDescent="0.3">
      <c r="J557" s="5">
        <v>60.47</v>
      </c>
      <c r="K557">
        <v>9.0704999999999991</v>
      </c>
    </row>
    <row r="558" spans="10:11" x14ac:dyDescent="0.3">
      <c r="J558" s="5">
        <v>60.74</v>
      </c>
      <c r="K558">
        <v>21.259</v>
      </c>
    </row>
    <row r="559" spans="10:11" x14ac:dyDescent="0.3">
      <c r="J559" s="5">
        <v>60.87</v>
      </c>
      <c r="K559">
        <v>9.1304999999999996</v>
      </c>
    </row>
    <row r="560" spans="10:11" x14ac:dyDescent="0.3">
      <c r="J560" s="5">
        <v>60.88</v>
      </c>
      <c r="K560">
        <v>27.396000000000001</v>
      </c>
    </row>
    <row r="561" spans="10:11" x14ac:dyDescent="0.3">
      <c r="J561" s="5">
        <v>60.95</v>
      </c>
      <c r="K561">
        <v>30.474999999999998</v>
      </c>
    </row>
    <row r="562" spans="10:11" x14ac:dyDescent="0.3">
      <c r="J562" s="5">
        <v>60.96</v>
      </c>
      <c r="K562">
        <v>6.0960000000000001</v>
      </c>
    </row>
    <row r="563" spans="10:11" x14ac:dyDescent="0.3">
      <c r="J563" s="5">
        <v>61.29</v>
      </c>
      <c r="K563">
        <v>15.3225</v>
      </c>
    </row>
    <row r="564" spans="10:11" x14ac:dyDescent="0.3">
      <c r="J564" s="5">
        <v>61.41</v>
      </c>
      <c r="K564">
        <v>21.493500000000001</v>
      </c>
    </row>
    <row r="565" spans="10:11" x14ac:dyDescent="0.3">
      <c r="J565" s="5">
        <v>61.77</v>
      </c>
      <c r="K565">
        <v>15.442500000000001</v>
      </c>
    </row>
    <row r="566" spans="10:11" x14ac:dyDescent="0.3">
      <c r="J566" s="5">
        <v>62</v>
      </c>
      <c r="K566">
        <v>24.8</v>
      </c>
    </row>
    <row r="567" spans="10:11" x14ac:dyDescent="0.3">
      <c r="J567" s="5">
        <v>62.08</v>
      </c>
      <c r="K567">
        <v>21.728000000000002</v>
      </c>
    </row>
    <row r="568" spans="10:11" x14ac:dyDescent="0.3">
      <c r="J568" s="5">
        <v>62.12</v>
      </c>
      <c r="K568">
        <v>31.06</v>
      </c>
    </row>
    <row r="569" spans="10:11" x14ac:dyDescent="0.3">
      <c r="J569" s="5">
        <v>62.13</v>
      </c>
      <c r="K569">
        <v>18.638999999999999</v>
      </c>
    </row>
    <row r="570" spans="10:11" x14ac:dyDescent="0.3">
      <c r="J570" s="5">
        <v>62.18</v>
      </c>
      <c r="K570">
        <v>31.09</v>
      </c>
    </row>
    <row r="571" spans="10:11" x14ac:dyDescent="0.3">
      <c r="J571" s="5">
        <v>62.19</v>
      </c>
      <c r="K571">
        <v>12.438000000000001</v>
      </c>
    </row>
    <row r="572" spans="10:11" x14ac:dyDescent="0.3">
      <c r="J572" s="5">
        <v>62.48</v>
      </c>
      <c r="K572">
        <v>3.1240000000000001</v>
      </c>
    </row>
    <row r="573" spans="10:11" x14ac:dyDescent="0.3">
      <c r="J573" s="5">
        <v>62.57</v>
      </c>
      <c r="K573">
        <v>12.513999999999999</v>
      </c>
    </row>
    <row r="574" spans="10:11" x14ac:dyDescent="0.3">
      <c r="J574" s="5">
        <v>62.62</v>
      </c>
      <c r="K574">
        <v>15.654999999999999</v>
      </c>
    </row>
    <row r="575" spans="10:11" x14ac:dyDescent="0.3">
      <c r="J575" s="5">
        <v>62.65</v>
      </c>
      <c r="K575">
        <v>12.53</v>
      </c>
    </row>
    <row r="576" spans="10:11" x14ac:dyDescent="0.3">
      <c r="J576" s="5">
        <v>62.82</v>
      </c>
      <c r="K576">
        <v>6.282</v>
      </c>
    </row>
    <row r="577" spans="10:11" x14ac:dyDescent="0.3">
      <c r="J577" s="5">
        <v>62.85</v>
      </c>
      <c r="K577">
        <v>12.57</v>
      </c>
    </row>
    <row r="578" spans="10:11" x14ac:dyDescent="0.3">
      <c r="J578" s="5">
        <v>62.87</v>
      </c>
      <c r="K578">
        <v>6.2869999999999999</v>
      </c>
    </row>
    <row r="579" spans="10:11" x14ac:dyDescent="0.3">
      <c r="J579" s="5">
        <v>63.06</v>
      </c>
      <c r="K579">
        <v>9.4589999999999996</v>
      </c>
    </row>
    <row r="580" spans="10:11" x14ac:dyDescent="0.3">
      <c r="J580" s="5">
        <v>63.15</v>
      </c>
      <c r="K580">
        <v>18.945</v>
      </c>
    </row>
    <row r="581" spans="10:11" x14ac:dyDescent="0.3">
      <c r="J581" s="5">
        <v>63.22</v>
      </c>
      <c r="K581">
        <v>6.3220000000000001</v>
      </c>
    </row>
    <row r="582" spans="10:11" x14ac:dyDescent="0.3">
      <c r="J582" s="5">
        <v>63.42</v>
      </c>
      <c r="K582">
        <v>25.367999999999999</v>
      </c>
    </row>
    <row r="583" spans="10:11" x14ac:dyDescent="0.3">
      <c r="J583" s="5">
        <v>63.56</v>
      </c>
      <c r="K583">
        <v>31.78</v>
      </c>
    </row>
    <row r="584" spans="10:11" x14ac:dyDescent="0.3">
      <c r="J584" s="5">
        <v>63.61</v>
      </c>
      <c r="K584">
        <v>15.9025</v>
      </c>
    </row>
    <row r="585" spans="10:11" x14ac:dyDescent="0.3">
      <c r="J585" s="5">
        <v>63.69</v>
      </c>
      <c r="K585">
        <v>3.1844999999999999</v>
      </c>
    </row>
    <row r="586" spans="10:11" x14ac:dyDescent="0.3">
      <c r="J586" s="5">
        <v>63.71</v>
      </c>
      <c r="K586">
        <v>15.9275</v>
      </c>
    </row>
    <row r="587" spans="10:11" x14ac:dyDescent="0.3">
      <c r="J587" s="5">
        <v>63.88</v>
      </c>
      <c r="K587">
        <v>25.552</v>
      </c>
    </row>
    <row r="588" spans="10:11" x14ac:dyDescent="0.3">
      <c r="J588" s="5">
        <v>63.91</v>
      </c>
      <c r="K588">
        <v>25.564</v>
      </c>
    </row>
    <row r="589" spans="10:11" x14ac:dyDescent="0.3">
      <c r="J589" s="5">
        <v>64.08</v>
      </c>
      <c r="K589">
        <v>44.856000000000002</v>
      </c>
    </row>
    <row r="590" spans="10:11" x14ac:dyDescent="0.3">
      <c r="J590" s="5">
        <v>64.19</v>
      </c>
      <c r="K590">
        <v>32.094999999999999</v>
      </c>
    </row>
    <row r="591" spans="10:11" x14ac:dyDescent="0.3">
      <c r="J591" s="5">
        <v>64.260000000000005</v>
      </c>
      <c r="K591">
        <v>22.491</v>
      </c>
    </row>
    <row r="592" spans="10:11" x14ac:dyDescent="0.3">
      <c r="J592" s="5">
        <v>64.27</v>
      </c>
      <c r="K592">
        <v>12.853999999999999</v>
      </c>
    </row>
    <row r="593" spans="10:11" x14ac:dyDescent="0.3">
      <c r="J593" s="5">
        <v>64.36</v>
      </c>
      <c r="K593">
        <v>28.962</v>
      </c>
    </row>
    <row r="594" spans="10:11" x14ac:dyDescent="0.3">
      <c r="J594" s="5">
        <v>64.44</v>
      </c>
      <c r="K594">
        <v>16.11</v>
      </c>
    </row>
    <row r="595" spans="10:11" x14ac:dyDescent="0.3">
      <c r="J595" s="5">
        <v>64.59</v>
      </c>
      <c r="K595">
        <v>12.917999999999999</v>
      </c>
    </row>
    <row r="596" spans="10:11" x14ac:dyDescent="0.3">
      <c r="J596" s="5">
        <v>64.83</v>
      </c>
      <c r="K596">
        <v>6.4829999999999997</v>
      </c>
    </row>
    <row r="597" spans="10:11" x14ac:dyDescent="0.3">
      <c r="J597" s="5">
        <v>64.95</v>
      </c>
      <c r="K597">
        <v>32.475000000000001</v>
      </c>
    </row>
    <row r="598" spans="10:11" x14ac:dyDescent="0.3">
      <c r="J598" s="5">
        <v>64.97</v>
      </c>
      <c r="K598">
        <v>16.2425</v>
      </c>
    </row>
    <row r="599" spans="10:11" x14ac:dyDescent="0.3">
      <c r="J599" s="5">
        <v>64.989999999999995</v>
      </c>
      <c r="K599">
        <v>3.2494999999999998</v>
      </c>
    </row>
    <row r="600" spans="10:11" x14ac:dyDescent="0.3">
      <c r="J600" s="5">
        <v>65.180000000000007</v>
      </c>
      <c r="K600">
        <v>9.7769999999999992</v>
      </c>
    </row>
    <row r="601" spans="10:11" x14ac:dyDescent="0.3">
      <c r="J601" s="5">
        <v>65.23</v>
      </c>
      <c r="K601">
        <v>32.615000000000002</v>
      </c>
    </row>
    <row r="602" spans="10:11" x14ac:dyDescent="0.3">
      <c r="J602" s="5">
        <v>65.260000000000005</v>
      </c>
      <c r="K602">
        <v>26.103999999999999</v>
      </c>
    </row>
    <row r="603" spans="10:11" x14ac:dyDescent="0.3">
      <c r="J603" s="5">
        <v>65.31</v>
      </c>
      <c r="K603">
        <v>22.858499999999999</v>
      </c>
    </row>
    <row r="604" spans="10:11" x14ac:dyDescent="0.3">
      <c r="J604" s="5">
        <v>65.650000000000006</v>
      </c>
      <c r="K604">
        <v>6.5650000000000004</v>
      </c>
    </row>
    <row r="605" spans="10:11" x14ac:dyDescent="0.3">
      <c r="J605" s="5">
        <v>65.739999999999995</v>
      </c>
      <c r="K605">
        <v>29.582999999999998</v>
      </c>
    </row>
    <row r="606" spans="10:11" x14ac:dyDescent="0.3">
      <c r="J606" s="5">
        <v>65.819999999999993</v>
      </c>
      <c r="K606">
        <v>3.2909999999999999</v>
      </c>
    </row>
    <row r="607" spans="10:11" x14ac:dyDescent="0.3">
      <c r="J607" s="5">
        <v>65.91</v>
      </c>
      <c r="K607">
        <v>19.773</v>
      </c>
    </row>
    <row r="608" spans="10:11" x14ac:dyDescent="0.3">
      <c r="J608" s="5">
        <v>65.94</v>
      </c>
      <c r="K608">
        <v>26.376000000000001</v>
      </c>
    </row>
    <row r="609" spans="10:11" x14ac:dyDescent="0.3">
      <c r="J609" s="5">
        <v>65.97</v>
      </c>
      <c r="K609">
        <v>26.388000000000002</v>
      </c>
    </row>
    <row r="610" spans="10:11" x14ac:dyDescent="0.3">
      <c r="J610" s="5">
        <v>66.06</v>
      </c>
      <c r="K610">
        <v>19.818000000000001</v>
      </c>
    </row>
    <row r="611" spans="10:11" x14ac:dyDescent="0.3">
      <c r="J611" s="5">
        <v>66.14</v>
      </c>
      <c r="K611">
        <v>13.228</v>
      </c>
    </row>
    <row r="612" spans="10:11" x14ac:dyDescent="0.3">
      <c r="J612" s="5">
        <v>66.349999999999994</v>
      </c>
      <c r="K612">
        <v>3.3174999999999999</v>
      </c>
    </row>
    <row r="613" spans="10:11" x14ac:dyDescent="0.3">
      <c r="J613" s="5">
        <v>66.47</v>
      </c>
      <c r="K613">
        <v>33.234999999999999</v>
      </c>
    </row>
    <row r="614" spans="10:11" x14ac:dyDescent="0.3">
      <c r="J614" s="5">
        <v>66.52</v>
      </c>
      <c r="K614">
        <v>13.304</v>
      </c>
    </row>
    <row r="615" spans="10:11" x14ac:dyDescent="0.3">
      <c r="J615" s="5">
        <v>66.650000000000006</v>
      </c>
      <c r="K615">
        <v>29.9925</v>
      </c>
    </row>
    <row r="616" spans="10:11" x14ac:dyDescent="0.3">
      <c r="J616" s="5">
        <v>66.680000000000007</v>
      </c>
      <c r="K616">
        <v>16.670000000000002</v>
      </c>
    </row>
    <row r="617" spans="10:11" x14ac:dyDescent="0.3">
      <c r="J617" s="5">
        <v>67.09</v>
      </c>
      <c r="K617">
        <v>16.772500000000001</v>
      </c>
    </row>
    <row r="618" spans="10:11" x14ac:dyDescent="0.3">
      <c r="J618" s="5">
        <v>67.099999999999994</v>
      </c>
      <c r="K618">
        <v>10.065</v>
      </c>
    </row>
    <row r="619" spans="10:11" x14ac:dyDescent="0.3">
      <c r="J619" s="5">
        <v>67.260000000000005</v>
      </c>
      <c r="K619">
        <v>13.452</v>
      </c>
    </row>
    <row r="620" spans="10:11" x14ac:dyDescent="0.3">
      <c r="J620" s="5">
        <v>67.27</v>
      </c>
      <c r="K620">
        <v>16.817499999999999</v>
      </c>
    </row>
    <row r="621" spans="10:11" x14ac:dyDescent="0.3">
      <c r="J621" s="5">
        <v>67.39</v>
      </c>
      <c r="K621">
        <v>23.586500000000001</v>
      </c>
    </row>
    <row r="622" spans="10:11" x14ac:dyDescent="0.3">
      <c r="J622" s="5">
        <v>67.430000000000007</v>
      </c>
      <c r="K622">
        <v>16.857500000000002</v>
      </c>
    </row>
    <row r="623" spans="10:11" x14ac:dyDescent="0.3">
      <c r="J623" s="5">
        <v>67.45</v>
      </c>
      <c r="K623">
        <v>33.725000000000001</v>
      </c>
    </row>
    <row r="624" spans="10:11" x14ac:dyDescent="0.3">
      <c r="J624" s="5">
        <v>67.77</v>
      </c>
      <c r="K624">
        <v>3.3885000000000001</v>
      </c>
    </row>
    <row r="625" spans="10:11" x14ac:dyDescent="0.3">
      <c r="J625" s="5">
        <v>67.989999999999995</v>
      </c>
      <c r="K625">
        <v>23.796500000000002</v>
      </c>
    </row>
    <row r="626" spans="10:11" x14ac:dyDescent="0.3">
      <c r="J626" s="5">
        <v>68.12</v>
      </c>
      <c r="K626">
        <v>3.4060000000000001</v>
      </c>
    </row>
    <row r="627" spans="10:11" x14ac:dyDescent="0.3">
      <c r="J627" s="5">
        <v>68.540000000000006</v>
      </c>
      <c r="K627">
        <v>27.416</v>
      </c>
    </row>
    <row r="628" spans="10:11" x14ac:dyDescent="0.3">
      <c r="J628" s="5">
        <v>68.55</v>
      </c>
      <c r="K628">
        <v>13.71</v>
      </c>
    </row>
    <row r="629" spans="10:11" x14ac:dyDescent="0.3">
      <c r="J629" s="5">
        <v>68.599999999999994</v>
      </c>
      <c r="K629">
        <v>34.299999999999997</v>
      </c>
    </row>
    <row r="630" spans="10:11" x14ac:dyDescent="0.3">
      <c r="J630" s="5">
        <v>68.709999999999994</v>
      </c>
      <c r="K630">
        <v>24.048500000000001</v>
      </c>
    </row>
    <row r="631" spans="10:11" x14ac:dyDescent="0.3">
      <c r="J631" s="5">
        <v>68.84</v>
      </c>
      <c r="K631">
        <v>20.652000000000001</v>
      </c>
    </row>
    <row r="632" spans="10:11" x14ac:dyDescent="0.3">
      <c r="J632" s="5">
        <v>68.930000000000007</v>
      </c>
      <c r="K632">
        <v>24.125499999999999</v>
      </c>
    </row>
    <row r="633" spans="10:11" x14ac:dyDescent="0.3">
      <c r="J633" s="5">
        <v>68.97</v>
      </c>
      <c r="K633">
        <v>10.345499999999999</v>
      </c>
    </row>
    <row r="634" spans="10:11" x14ac:dyDescent="0.3">
      <c r="J634" s="5">
        <v>68.98</v>
      </c>
      <c r="K634">
        <v>3.4489999999999998</v>
      </c>
    </row>
    <row r="635" spans="10:11" x14ac:dyDescent="0.3">
      <c r="J635" s="5">
        <v>69.08</v>
      </c>
      <c r="K635">
        <v>6.9080000000000004</v>
      </c>
    </row>
    <row r="636" spans="10:11" x14ac:dyDescent="0.3">
      <c r="J636" s="5">
        <v>69.12</v>
      </c>
      <c r="K636">
        <v>20.736000000000001</v>
      </c>
    </row>
    <row r="637" spans="10:11" x14ac:dyDescent="0.3">
      <c r="J637" s="5">
        <v>69.33</v>
      </c>
      <c r="K637">
        <v>6.9329999999999998</v>
      </c>
    </row>
    <row r="638" spans="10:11" x14ac:dyDescent="0.3">
      <c r="J638" s="5">
        <v>69.37</v>
      </c>
      <c r="K638">
        <v>31.2165</v>
      </c>
    </row>
    <row r="639" spans="10:11" x14ac:dyDescent="0.3">
      <c r="J639" s="5">
        <v>69.400000000000006</v>
      </c>
      <c r="K639">
        <v>6.94</v>
      </c>
    </row>
    <row r="640" spans="10:11" x14ac:dyDescent="0.3">
      <c r="J640" s="5">
        <v>69.510000000000005</v>
      </c>
      <c r="K640">
        <v>6.9509999999999996</v>
      </c>
    </row>
    <row r="641" spans="10:11" x14ac:dyDescent="0.3">
      <c r="J641" s="5">
        <v>69.52</v>
      </c>
      <c r="K641">
        <v>24.332000000000001</v>
      </c>
    </row>
    <row r="642" spans="10:11" x14ac:dyDescent="0.3">
      <c r="J642" s="5">
        <v>69.58</v>
      </c>
      <c r="K642">
        <v>31.311</v>
      </c>
    </row>
    <row r="643" spans="10:11" x14ac:dyDescent="0.3">
      <c r="J643" s="5">
        <v>69.739999999999995</v>
      </c>
      <c r="K643">
        <v>34.869999999999997</v>
      </c>
    </row>
    <row r="644" spans="10:11" x14ac:dyDescent="0.3">
      <c r="J644" s="5">
        <v>69.81</v>
      </c>
      <c r="K644">
        <v>13.962</v>
      </c>
    </row>
    <row r="645" spans="10:11" x14ac:dyDescent="0.3">
      <c r="J645" s="5">
        <v>69.959999999999994</v>
      </c>
      <c r="K645">
        <v>27.984000000000002</v>
      </c>
    </row>
    <row r="646" spans="10:11" x14ac:dyDescent="0.3">
      <c r="J646" s="5">
        <v>70.010000000000005</v>
      </c>
      <c r="K646">
        <v>17.502500000000001</v>
      </c>
    </row>
    <row r="647" spans="10:11" x14ac:dyDescent="0.3">
      <c r="J647" s="5">
        <v>70.11</v>
      </c>
      <c r="K647">
        <v>21.033000000000001</v>
      </c>
    </row>
    <row r="648" spans="10:11" x14ac:dyDescent="0.3">
      <c r="J648" s="5">
        <v>70.19</v>
      </c>
      <c r="K648">
        <v>31.5855</v>
      </c>
    </row>
    <row r="649" spans="10:11" x14ac:dyDescent="0.3">
      <c r="J649" s="5">
        <v>70.209999999999994</v>
      </c>
      <c r="K649">
        <v>21.062999999999999</v>
      </c>
    </row>
    <row r="650" spans="10:11" x14ac:dyDescent="0.3">
      <c r="J650" s="5">
        <v>70.319999999999993</v>
      </c>
      <c r="K650">
        <v>7.032</v>
      </c>
    </row>
    <row r="651" spans="10:11" x14ac:dyDescent="0.3">
      <c r="J651" s="5">
        <v>70.739999999999995</v>
      </c>
      <c r="K651">
        <v>14.148</v>
      </c>
    </row>
    <row r="652" spans="10:11" x14ac:dyDescent="0.3">
      <c r="J652" s="5">
        <v>70.989999999999995</v>
      </c>
      <c r="K652">
        <v>35.494999999999997</v>
      </c>
    </row>
    <row r="653" spans="10:11" x14ac:dyDescent="0.3">
      <c r="J653" s="5">
        <v>71.2</v>
      </c>
      <c r="K653">
        <v>3.56</v>
      </c>
    </row>
    <row r="654" spans="10:11" x14ac:dyDescent="0.3">
      <c r="J654" s="5">
        <v>71.38</v>
      </c>
      <c r="K654">
        <v>35.69</v>
      </c>
    </row>
    <row r="655" spans="10:11" x14ac:dyDescent="0.3">
      <c r="J655" s="5">
        <v>71.39</v>
      </c>
      <c r="K655">
        <v>17.8475</v>
      </c>
    </row>
    <row r="656" spans="10:11" x14ac:dyDescent="0.3">
      <c r="J656" s="5">
        <v>71.459999999999994</v>
      </c>
      <c r="K656">
        <v>25.010999999999999</v>
      </c>
    </row>
    <row r="657" spans="10:11" x14ac:dyDescent="0.3">
      <c r="J657" s="5">
        <v>71.63</v>
      </c>
      <c r="K657">
        <v>7.1630000000000003</v>
      </c>
    </row>
    <row r="658" spans="10:11" x14ac:dyDescent="0.3">
      <c r="J658" s="5">
        <v>71.680000000000007</v>
      </c>
      <c r="K658">
        <v>10.752000000000001</v>
      </c>
    </row>
    <row r="659" spans="10:11" x14ac:dyDescent="0.3">
      <c r="J659" s="5">
        <v>71.77</v>
      </c>
      <c r="K659">
        <v>25.119499999999999</v>
      </c>
    </row>
    <row r="660" spans="10:11" x14ac:dyDescent="0.3">
      <c r="J660" s="5">
        <v>71.86</v>
      </c>
      <c r="K660">
        <v>28.744</v>
      </c>
    </row>
    <row r="661" spans="10:11" x14ac:dyDescent="0.3">
      <c r="J661" s="5">
        <v>71.89</v>
      </c>
      <c r="K661">
        <v>28.756</v>
      </c>
    </row>
    <row r="662" spans="10:11" x14ac:dyDescent="0.3">
      <c r="J662" s="5">
        <v>71.92</v>
      </c>
      <c r="K662">
        <v>17.98</v>
      </c>
    </row>
    <row r="663" spans="10:11" x14ac:dyDescent="0.3">
      <c r="J663" s="5">
        <v>71.95</v>
      </c>
      <c r="K663">
        <v>3.5975000000000001</v>
      </c>
    </row>
    <row r="664" spans="10:11" x14ac:dyDescent="0.3">
      <c r="J664" s="5">
        <v>72.040000000000006</v>
      </c>
      <c r="K664">
        <v>7.2039999999999997</v>
      </c>
    </row>
    <row r="665" spans="10:11" x14ac:dyDescent="0.3">
      <c r="J665" s="5">
        <v>72.11</v>
      </c>
      <c r="K665">
        <v>32.4495</v>
      </c>
    </row>
    <row r="666" spans="10:11" x14ac:dyDescent="0.3">
      <c r="J666" s="5">
        <v>72.13</v>
      </c>
      <c r="K666">
        <v>36.064999999999998</v>
      </c>
    </row>
    <row r="667" spans="10:11" x14ac:dyDescent="0.3">
      <c r="J667" s="5">
        <v>72.17</v>
      </c>
      <c r="K667">
        <v>3.6084999999999998</v>
      </c>
    </row>
    <row r="668" spans="10:11" x14ac:dyDescent="0.3">
      <c r="J668" s="5">
        <v>72.2</v>
      </c>
      <c r="K668">
        <v>25.27</v>
      </c>
    </row>
    <row r="669" spans="10:11" x14ac:dyDescent="0.3">
      <c r="J669" s="5">
        <v>72.349999999999994</v>
      </c>
      <c r="K669">
        <v>36.174999999999997</v>
      </c>
    </row>
    <row r="670" spans="10:11" x14ac:dyDescent="0.3">
      <c r="J670" s="5">
        <v>72.39</v>
      </c>
      <c r="K670">
        <v>7.2389999999999999</v>
      </c>
    </row>
    <row r="671" spans="10:11" x14ac:dyDescent="0.3">
      <c r="J671" s="5">
        <v>72.42</v>
      </c>
      <c r="K671">
        <v>10.863</v>
      </c>
    </row>
    <row r="672" spans="10:11" x14ac:dyDescent="0.3">
      <c r="J672" s="5">
        <v>72.5</v>
      </c>
      <c r="K672">
        <v>29</v>
      </c>
    </row>
    <row r="673" spans="10:11" x14ac:dyDescent="0.3">
      <c r="J673" s="5">
        <v>72.52</v>
      </c>
      <c r="K673">
        <v>29.007999999999999</v>
      </c>
    </row>
    <row r="674" spans="10:11" x14ac:dyDescent="0.3">
      <c r="J674" s="5">
        <v>72.569999999999993</v>
      </c>
      <c r="K674">
        <v>29.027999999999999</v>
      </c>
    </row>
    <row r="675" spans="10:11" x14ac:dyDescent="0.3">
      <c r="J675" s="5">
        <v>72.599999999999994</v>
      </c>
      <c r="K675">
        <v>21.78</v>
      </c>
    </row>
    <row r="676" spans="10:11" x14ac:dyDescent="0.3">
      <c r="J676" s="5">
        <v>72.61</v>
      </c>
      <c r="K676">
        <v>21.783000000000001</v>
      </c>
    </row>
    <row r="677" spans="10:11" x14ac:dyDescent="0.3">
      <c r="J677" s="5">
        <v>72.78</v>
      </c>
      <c r="K677">
        <v>36.39</v>
      </c>
    </row>
    <row r="678" spans="10:11" x14ac:dyDescent="0.3">
      <c r="J678" s="5">
        <v>72.84</v>
      </c>
      <c r="K678">
        <v>25.494</v>
      </c>
    </row>
    <row r="679" spans="10:11" x14ac:dyDescent="0.3">
      <c r="J679" s="5">
        <v>72.88</v>
      </c>
      <c r="K679">
        <v>40.084000000000003</v>
      </c>
    </row>
    <row r="680" spans="10:11" x14ac:dyDescent="0.3">
      <c r="J680" s="5">
        <v>73.05</v>
      </c>
      <c r="K680">
        <v>51.134999999999998</v>
      </c>
    </row>
    <row r="681" spans="10:11" x14ac:dyDescent="0.3">
      <c r="J681" s="5">
        <v>73.06</v>
      </c>
      <c r="K681">
        <v>25.571000000000002</v>
      </c>
    </row>
    <row r="682" spans="10:11" x14ac:dyDescent="0.3">
      <c r="J682" s="5">
        <v>73.22</v>
      </c>
      <c r="K682">
        <v>21.966000000000001</v>
      </c>
    </row>
    <row r="683" spans="10:11" x14ac:dyDescent="0.3">
      <c r="J683" s="5">
        <v>73.260000000000005</v>
      </c>
      <c r="K683">
        <v>3.6629999999999998</v>
      </c>
    </row>
    <row r="684" spans="10:11" x14ac:dyDescent="0.3">
      <c r="J684" s="5">
        <v>73.28</v>
      </c>
      <c r="K684">
        <v>18.32</v>
      </c>
    </row>
    <row r="685" spans="10:11" x14ac:dyDescent="0.3">
      <c r="J685" s="5">
        <v>73.38</v>
      </c>
      <c r="K685">
        <v>25.683</v>
      </c>
    </row>
    <row r="686" spans="10:11" x14ac:dyDescent="0.3">
      <c r="J686" s="5">
        <v>73.41</v>
      </c>
      <c r="K686">
        <v>11.0115</v>
      </c>
    </row>
    <row r="687" spans="10:11" x14ac:dyDescent="0.3">
      <c r="J687" s="5">
        <v>73.47</v>
      </c>
      <c r="K687">
        <v>51.429000000000002</v>
      </c>
    </row>
    <row r="688" spans="10:11" x14ac:dyDescent="0.3">
      <c r="J688" s="5">
        <v>73.52</v>
      </c>
      <c r="K688">
        <v>7.3520000000000003</v>
      </c>
    </row>
    <row r="689" spans="10:11" x14ac:dyDescent="0.3">
      <c r="J689" s="5">
        <v>73.56</v>
      </c>
      <c r="K689">
        <v>36.78</v>
      </c>
    </row>
    <row r="690" spans="10:11" x14ac:dyDescent="0.3">
      <c r="J690" s="5">
        <v>73.819999999999993</v>
      </c>
      <c r="K690">
        <v>14.763999999999999</v>
      </c>
    </row>
    <row r="691" spans="10:11" x14ac:dyDescent="0.3">
      <c r="J691" s="5">
        <v>73.88</v>
      </c>
      <c r="K691">
        <v>22.164000000000001</v>
      </c>
    </row>
    <row r="692" spans="10:11" x14ac:dyDescent="0.3">
      <c r="J692" s="5">
        <v>73.95</v>
      </c>
      <c r="K692">
        <v>14.79</v>
      </c>
    </row>
    <row r="693" spans="10:11" x14ac:dyDescent="0.3">
      <c r="J693" s="5">
        <v>73.959999999999994</v>
      </c>
      <c r="K693">
        <v>3.698</v>
      </c>
    </row>
    <row r="694" spans="10:11" x14ac:dyDescent="0.3">
      <c r="J694" s="5">
        <v>73.97</v>
      </c>
      <c r="K694">
        <v>3.6985000000000001</v>
      </c>
    </row>
    <row r="695" spans="10:11" x14ac:dyDescent="0.3">
      <c r="J695" s="5">
        <v>73.98</v>
      </c>
      <c r="K695">
        <v>25.893000000000001</v>
      </c>
    </row>
    <row r="696" spans="10:11" x14ac:dyDescent="0.3">
      <c r="J696" s="5">
        <v>74.069999999999993</v>
      </c>
      <c r="K696">
        <v>3.7035</v>
      </c>
    </row>
    <row r="697" spans="10:11" x14ac:dyDescent="0.3">
      <c r="J697" s="5">
        <v>74.099999999999994</v>
      </c>
      <c r="K697">
        <v>3.7050000000000001</v>
      </c>
    </row>
    <row r="698" spans="10:11" x14ac:dyDescent="0.3">
      <c r="J698" s="5">
        <v>74.22</v>
      </c>
      <c r="K698">
        <v>37.11</v>
      </c>
    </row>
    <row r="699" spans="10:11" x14ac:dyDescent="0.3">
      <c r="J699" s="5">
        <v>74.290000000000006</v>
      </c>
      <c r="K699">
        <v>3.7145000000000001</v>
      </c>
    </row>
    <row r="700" spans="10:11" x14ac:dyDescent="0.3">
      <c r="J700" s="5">
        <v>74.44</v>
      </c>
      <c r="K700">
        <v>37.22</v>
      </c>
    </row>
    <row r="701" spans="10:11" x14ac:dyDescent="0.3">
      <c r="J701" s="5">
        <v>74.510000000000005</v>
      </c>
      <c r="K701">
        <v>22.353000000000002</v>
      </c>
    </row>
    <row r="702" spans="10:11" x14ac:dyDescent="0.3">
      <c r="J702" s="5">
        <v>74.58</v>
      </c>
      <c r="K702">
        <v>26.103000000000002</v>
      </c>
    </row>
    <row r="703" spans="10:11" x14ac:dyDescent="0.3">
      <c r="J703" s="5">
        <v>74.599999999999994</v>
      </c>
      <c r="K703">
        <v>37.299999999999997</v>
      </c>
    </row>
    <row r="704" spans="10:11" x14ac:dyDescent="0.3">
      <c r="J704" s="5">
        <v>74.66</v>
      </c>
      <c r="K704">
        <v>14.932</v>
      </c>
    </row>
    <row r="705" spans="10:11" x14ac:dyDescent="0.3">
      <c r="J705" s="5">
        <v>74.67</v>
      </c>
      <c r="K705">
        <v>33.601500000000001</v>
      </c>
    </row>
    <row r="706" spans="10:11" x14ac:dyDescent="0.3">
      <c r="J706" s="5">
        <v>74.69</v>
      </c>
      <c r="K706">
        <v>26.141500000000001</v>
      </c>
    </row>
    <row r="707" spans="10:11" x14ac:dyDescent="0.3">
      <c r="J707" s="5">
        <v>74.709999999999994</v>
      </c>
      <c r="K707">
        <v>22.413</v>
      </c>
    </row>
    <row r="708" spans="10:11" x14ac:dyDescent="0.3">
      <c r="J708" s="5">
        <v>74.790000000000006</v>
      </c>
      <c r="K708">
        <v>18.697500000000002</v>
      </c>
    </row>
    <row r="709" spans="10:11" x14ac:dyDescent="0.3">
      <c r="J709" s="5">
        <v>74.86</v>
      </c>
      <c r="K709">
        <v>3.7429999999999999</v>
      </c>
    </row>
    <row r="710" spans="10:11" x14ac:dyDescent="0.3">
      <c r="J710" s="5">
        <v>74.89</v>
      </c>
      <c r="K710">
        <v>14.978</v>
      </c>
    </row>
    <row r="711" spans="10:11" x14ac:dyDescent="0.3">
      <c r="J711" s="5">
        <v>74.97</v>
      </c>
      <c r="K711">
        <v>3.7484999999999999</v>
      </c>
    </row>
    <row r="712" spans="10:11" x14ac:dyDescent="0.3">
      <c r="J712" s="5">
        <v>75.06</v>
      </c>
      <c r="K712">
        <v>33.777000000000001</v>
      </c>
    </row>
    <row r="713" spans="10:11" x14ac:dyDescent="0.3">
      <c r="J713" s="5">
        <v>75.2</v>
      </c>
      <c r="K713">
        <v>11.28</v>
      </c>
    </row>
    <row r="714" spans="10:11" x14ac:dyDescent="0.3">
      <c r="J714" s="5">
        <v>75.37</v>
      </c>
      <c r="K714">
        <v>30.148</v>
      </c>
    </row>
    <row r="715" spans="10:11" x14ac:dyDescent="0.3">
      <c r="J715" s="5">
        <v>75.53</v>
      </c>
      <c r="K715">
        <v>15.106</v>
      </c>
    </row>
    <row r="716" spans="10:11" x14ac:dyDescent="0.3">
      <c r="J716" s="5">
        <v>75.59</v>
      </c>
      <c r="K716">
        <v>34.015500000000003</v>
      </c>
    </row>
    <row r="717" spans="10:11" x14ac:dyDescent="0.3">
      <c r="J717" s="5">
        <v>75.66</v>
      </c>
      <c r="K717">
        <v>18.914999999999999</v>
      </c>
    </row>
    <row r="718" spans="10:11" x14ac:dyDescent="0.3">
      <c r="J718" s="5">
        <v>75.739999999999995</v>
      </c>
      <c r="K718">
        <v>15.148</v>
      </c>
    </row>
    <row r="719" spans="10:11" x14ac:dyDescent="0.3">
      <c r="J719" s="5">
        <v>75.819999999999993</v>
      </c>
      <c r="K719">
        <v>3.7909999999999999</v>
      </c>
    </row>
    <row r="720" spans="10:11" x14ac:dyDescent="0.3">
      <c r="J720" s="5">
        <v>75.88</v>
      </c>
      <c r="K720">
        <v>30.352</v>
      </c>
    </row>
    <row r="721" spans="10:11" x14ac:dyDescent="0.3">
      <c r="J721" s="5">
        <v>75.91</v>
      </c>
      <c r="K721">
        <v>22.773</v>
      </c>
    </row>
    <row r="722" spans="10:11" x14ac:dyDescent="0.3">
      <c r="J722" s="5">
        <v>75.92</v>
      </c>
      <c r="K722">
        <v>30.367999999999999</v>
      </c>
    </row>
    <row r="723" spans="10:11" x14ac:dyDescent="0.3">
      <c r="J723" s="5">
        <v>76.06</v>
      </c>
      <c r="K723">
        <v>11.409000000000001</v>
      </c>
    </row>
    <row r="724" spans="10:11" x14ac:dyDescent="0.3">
      <c r="J724" s="5">
        <v>76.400000000000006</v>
      </c>
      <c r="K724">
        <v>42.02</v>
      </c>
    </row>
    <row r="725" spans="10:11" x14ac:dyDescent="0.3">
      <c r="J725" s="5">
        <v>76.52</v>
      </c>
      <c r="K725">
        <v>19.13</v>
      </c>
    </row>
    <row r="726" spans="10:11" x14ac:dyDescent="0.3">
      <c r="J726" s="5">
        <v>76.599999999999994</v>
      </c>
      <c r="K726">
        <v>38.299999999999997</v>
      </c>
    </row>
    <row r="727" spans="10:11" x14ac:dyDescent="0.3">
      <c r="J727" s="5">
        <v>76.819999999999993</v>
      </c>
      <c r="K727">
        <v>3.8410000000000002</v>
      </c>
    </row>
    <row r="728" spans="10:11" x14ac:dyDescent="0.3">
      <c r="J728" s="5">
        <v>76.900000000000006</v>
      </c>
      <c r="K728">
        <v>26.914999999999999</v>
      </c>
    </row>
    <row r="729" spans="10:11" x14ac:dyDescent="0.3">
      <c r="J729" s="5">
        <v>76.92</v>
      </c>
      <c r="K729">
        <v>38.46</v>
      </c>
    </row>
    <row r="730" spans="10:11" x14ac:dyDescent="0.3">
      <c r="J730" s="5">
        <v>76.989999999999995</v>
      </c>
      <c r="K730">
        <v>23.097000000000001</v>
      </c>
    </row>
    <row r="731" spans="10:11" x14ac:dyDescent="0.3">
      <c r="J731" s="5">
        <v>77.02</v>
      </c>
      <c r="K731">
        <v>19.254999999999999</v>
      </c>
    </row>
    <row r="732" spans="10:11" x14ac:dyDescent="0.3">
      <c r="J732" s="5">
        <v>77.040000000000006</v>
      </c>
      <c r="K732">
        <v>11.555999999999999</v>
      </c>
    </row>
    <row r="733" spans="10:11" x14ac:dyDescent="0.3">
      <c r="J733" s="5">
        <v>77.2</v>
      </c>
      <c r="K733">
        <v>38.6</v>
      </c>
    </row>
    <row r="734" spans="10:11" x14ac:dyDescent="0.3">
      <c r="J734" s="5">
        <v>77.400000000000006</v>
      </c>
      <c r="K734">
        <v>34.83</v>
      </c>
    </row>
    <row r="735" spans="10:11" x14ac:dyDescent="0.3">
      <c r="J735" s="5">
        <v>77.47</v>
      </c>
      <c r="K735">
        <v>15.494</v>
      </c>
    </row>
    <row r="736" spans="10:11" x14ac:dyDescent="0.3">
      <c r="J736" s="5">
        <v>77.5</v>
      </c>
      <c r="K736">
        <v>19.375</v>
      </c>
    </row>
    <row r="737" spans="10:11" x14ac:dyDescent="0.3">
      <c r="J737" s="5">
        <v>77.56</v>
      </c>
      <c r="K737">
        <v>38.78</v>
      </c>
    </row>
    <row r="738" spans="10:11" x14ac:dyDescent="0.3">
      <c r="J738" s="5">
        <v>77.63</v>
      </c>
      <c r="K738">
        <v>34.933500000000002</v>
      </c>
    </row>
    <row r="739" spans="10:11" x14ac:dyDescent="0.3">
      <c r="J739" s="5">
        <v>77.680000000000007</v>
      </c>
      <c r="K739">
        <v>50.492000000000004</v>
      </c>
    </row>
    <row r="740" spans="10:11" x14ac:dyDescent="0.3">
      <c r="J740" s="5">
        <v>77.72</v>
      </c>
      <c r="K740">
        <v>15.544</v>
      </c>
    </row>
    <row r="741" spans="10:11" x14ac:dyDescent="0.3">
      <c r="J741" s="5">
        <v>77.930000000000007</v>
      </c>
      <c r="K741">
        <v>35.0685</v>
      </c>
    </row>
    <row r="742" spans="10:11" x14ac:dyDescent="0.3">
      <c r="J742" s="5">
        <v>77.95</v>
      </c>
      <c r="K742">
        <v>23.385000000000002</v>
      </c>
    </row>
    <row r="743" spans="10:11" x14ac:dyDescent="0.3">
      <c r="J743" s="5">
        <v>78.069999999999993</v>
      </c>
      <c r="K743">
        <v>35.131500000000003</v>
      </c>
    </row>
    <row r="744" spans="10:11" x14ac:dyDescent="0.3">
      <c r="J744" s="5">
        <v>78.13</v>
      </c>
      <c r="K744">
        <v>39.064999999999998</v>
      </c>
    </row>
    <row r="745" spans="10:11" x14ac:dyDescent="0.3">
      <c r="J745" s="5">
        <v>78.31</v>
      </c>
      <c r="K745">
        <v>50.901499999999999</v>
      </c>
    </row>
    <row r="746" spans="10:11" x14ac:dyDescent="0.3">
      <c r="J746" s="5">
        <v>78.38</v>
      </c>
      <c r="K746">
        <v>39.19</v>
      </c>
    </row>
    <row r="747" spans="10:11" x14ac:dyDescent="0.3">
      <c r="J747" s="5">
        <v>78.55</v>
      </c>
      <c r="K747">
        <v>35.347499999999997</v>
      </c>
    </row>
    <row r="748" spans="10:11" x14ac:dyDescent="0.3">
      <c r="J748" s="5">
        <v>78.77</v>
      </c>
      <c r="K748">
        <v>39.384999999999998</v>
      </c>
    </row>
    <row r="749" spans="10:11" x14ac:dyDescent="0.3">
      <c r="J749" s="5">
        <v>78.88</v>
      </c>
      <c r="K749">
        <v>7.8879999999999999</v>
      </c>
    </row>
    <row r="750" spans="10:11" x14ac:dyDescent="0.3">
      <c r="J750" s="5">
        <v>78.89</v>
      </c>
      <c r="K750">
        <v>27.611499999999999</v>
      </c>
    </row>
    <row r="751" spans="10:11" x14ac:dyDescent="0.3">
      <c r="J751" s="5">
        <v>79.39</v>
      </c>
      <c r="K751">
        <v>39.695</v>
      </c>
    </row>
    <row r="752" spans="10:11" x14ac:dyDescent="0.3">
      <c r="J752" s="5">
        <v>79.540000000000006</v>
      </c>
      <c r="K752">
        <v>7.9539999999999997</v>
      </c>
    </row>
    <row r="753" spans="10:11" x14ac:dyDescent="0.3">
      <c r="J753" s="5">
        <v>79.59</v>
      </c>
      <c r="K753">
        <v>11.938499999999999</v>
      </c>
    </row>
    <row r="754" spans="10:11" x14ac:dyDescent="0.3">
      <c r="J754" s="5">
        <v>79.739999999999995</v>
      </c>
      <c r="K754">
        <v>3.9870000000000001</v>
      </c>
    </row>
    <row r="755" spans="10:11" x14ac:dyDescent="0.3">
      <c r="J755" s="5">
        <v>79.86</v>
      </c>
      <c r="K755">
        <v>27.951000000000001</v>
      </c>
    </row>
    <row r="756" spans="10:11" x14ac:dyDescent="0.3">
      <c r="J756" s="5">
        <v>79.91</v>
      </c>
      <c r="K756">
        <v>11.986499999999999</v>
      </c>
    </row>
    <row r="757" spans="10:11" x14ac:dyDescent="0.3">
      <c r="J757" s="5">
        <v>79.930000000000007</v>
      </c>
      <c r="K757">
        <v>23.978999999999999</v>
      </c>
    </row>
    <row r="758" spans="10:11" x14ac:dyDescent="0.3">
      <c r="J758" s="5">
        <v>80.05</v>
      </c>
      <c r="K758">
        <v>20.012499999999999</v>
      </c>
    </row>
    <row r="759" spans="10:11" x14ac:dyDescent="0.3">
      <c r="J759" s="5">
        <v>80.08</v>
      </c>
      <c r="K759">
        <v>12.012</v>
      </c>
    </row>
    <row r="760" spans="10:11" x14ac:dyDescent="0.3">
      <c r="J760" s="5">
        <v>80.36</v>
      </c>
      <c r="K760">
        <v>16.071999999999999</v>
      </c>
    </row>
    <row r="761" spans="10:11" x14ac:dyDescent="0.3">
      <c r="J761" s="5">
        <v>80.47</v>
      </c>
      <c r="K761">
        <v>36.211500000000001</v>
      </c>
    </row>
    <row r="762" spans="10:11" x14ac:dyDescent="0.3">
      <c r="J762" s="5">
        <v>80.48</v>
      </c>
      <c r="K762">
        <v>12.071999999999999</v>
      </c>
    </row>
    <row r="763" spans="10:11" x14ac:dyDescent="0.3">
      <c r="J763" s="5">
        <v>80.62</v>
      </c>
      <c r="K763">
        <v>24.186</v>
      </c>
    </row>
    <row r="764" spans="10:11" x14ac:dyDescent="0.3">
      <c r="J764" s="5">
        <v>80.790000000000006</v>
      </c>
      <c r="K764">
        <v>36.355499999999999</v>
      </c>
    </row>
    <row r="765" spans="10:11" x14ac:dyDescent="0.3">
      <c r="J765" s="5">
        <v>80.930000000000007</v>
      </c>
      <c r="K765">
        <v>4.0465</v>
      </c>
    </row>
    <row r="766" spans="10:11" x14ac:dyDescent="0.3">
      <c r="J766" s="5">
        <v>80.959999999999994</v>
      </c>
      <c r="K766">
        <v>32.384</v>
      </c>
    </row>
    <row r="767" spans="10:11" x14ac:dyDescent="0.3">
      <c r="J767" s="5">
        <v>80.97</v>
      </c>
      <c r="K767">
        <v>32.387999999999998</v>
      </c>
    </row>
    <row r="768" spans="10:11" x14ac:dyDescent="0.3">
      <c r="J768" s="5">
        <v>81.010000000000005</v>
      </c>
      <c r="K768">
        <v>12.1515</v>
      </c>
    </row>
    <row r="769" spans="10:11" x14ac:dyDescent="0.3">
      <c r="J769" s="5">
        <v>81.2</v>
      </c>
      <c r="K769">
        <v>28.42</v>
      </c>
    </row>
    <row r="770" spans="10:11" x14ac:dyDescent="0.3">
      <c r="J770" s="5">
        <v>81.209999999999994</v>
      </c>
      <c r="K770">
        <v>40.604999999999997</v>
      </c>
    </row>
    <row r="771" spans="10:11" x14ac:dyDescent="0.3">
      <c r="J771" s="5">
        <v>81.23</v>
      </c>
      <c r="K771">
        <v>28.430499999999999</v>
      </c>
    </row>
    <row r="772" spans="10:11" x14ac:dyDescent="0.3">
      <c r="J772" s="5">
        <v>81.3</v>
      </c>
      <c r="K772">
        <v>24.39</v>
      </c>
    </row>
    <row r="773" spans="10:11" x14ac:dyDescent="0.3">
      <c r="J773" s="5">
        <v>81.31</v>
      </c>
      <c r="K773">
        <v>28.458500000000001</v>
      </c>
    </row>
    <row r="774" spans="10:11" x14ac:dyDescent="0.3">
      <c r="J774" s="5">
        <v>81.37</v>
      </c>
      <c r="K774">
        <v>8.1370000000000005</v>
      </c>
    </row>
    <row r="775" spans="10:11" x14ac:dyDescent="0.3">
      <c r="J775" s="5">
        <v>81.400000000000006</v>
      </c>
      <c r="K775">
        <v>12.21</v>
      </c>
    </row>
    <row r="776" spans="10:11" x14ac:dyDescent="0.3">
      <c r="J776" s="5">
        <v>81.510000000000005</v>
      </c>
      <c r="K776">
        <v>4.0754999999999999</v>
      </c>
    </row>
    <row r="777" spans="10:11" x14ac:dyDescent="0.3">
      <c r="J777" s="5">
        <v>81.680000000000007</v>
      </c>
      <c r="K777">
        <v>16.335999999999999</v>
      </c>
    </row>
    <row r="778" spans="10:11" x14ac:dyDescent="0.3">
      <c r="J778" s="5">
        <v>81.709999999999994</v>
      </c>
      <c r="K778">
        <v>24.513000000000002</v>
      </c>
    </row>
    <row r="779" spans="10:11" x14ac:dyDescent="0.3">
      <c r="J779" s="5">
        <v>81.91</v>
      </c>
      <c r="K779">
        <v>8.1910000000000007</v>
      </c>
    </row>
    <row r="780" spans="10:11" x14ac:dyDescent="0.3">
      <c r="J780" s="5">
        <v>81.95</v>
      </c>
      <c r="K780">
        <v>40.975000000000001</v>
      </c>
    </row>
    <row r="781" spans="10:11" x14ac:dyDescent="0.3">
      <c r="J781" s="5">
        <v>81.97</v>
      </c>
      <c r="K781">
        <v>40.984999999999999</v>
      </c>
    </row>
    <row r="782" spans="10:11" x14ac:dyDescent="0.3">
      <c r="J782" s="5">
        <v>82.04</v>
      </c>
      <c r="K782">
        <v>20.51</v>
      </c>
    </row>
    <row r="783" spans="10:11" x14ac:dyDescent="0.3">
      <c r="J783" s="5">
        <v>82.33</v>
      </c>
      <c r="K783">
        <v>16.466000000000001</v>
      </c>
    </row>
    <row r="784" spans="10:11" x14ac:dyDescent="0.3">
      <c r="J784" s="5">
        <v>82.34</v>
      </c>
      <c r="K784">
        <v>41.17</v>
      </c>
    </row>
    <row r="785" spans="10:11" x14ac:dyDescent="0.3">
      <c r="J785" s="5">
        <v>82.58</v>
      </c>
      <c r="K785">
        <v>41.29</v>
      </c>
    </row>
    <row r="786" spans="10:11" x14ac:dyDescent="0.3">
      <c r="J786" s="5">
        <v>82.63</v>
      </c>
      <c r="K786">
        <v>41.314999999999998</v>
      </c>
    </row>
    <row r="787" spans="10:11" x14ac:dyDescent="0.3">
      <c r="J787" s="5">
        <v>82.7</v>
      </c>
      <c r="K787">
        <v>24.81</v>
      </c>
    </row>
    <row r="788" spans="10:11" x14ac:dyDescent="0.3">
      <c r="J788" s="5">
        <v>82.88</v>
      </c>
      <c r="K788">
        <v>20.72</v>
      </c>
    </row>
    <row r="789" spans="10:11" x14ac:dyDescent="0.3">
      <c r="J789" s="5">
        <v>82.93</v>
      </c>
      <c r="K789">
        <v>16.585999999999999</v>
      </c>
    </row>
    <row r="790" spans="10:11" x14ac:dyDescent="0.3">
      <c r="J790" s="5">
        <v>83.06</v>
      </c>
      <c r="K790">
        <v>29.071000000000002</v>
      </c>
    </row>
    <row r="791" spans="10:11" x14ac:dyDescent="0.3">
      <c r="J791" s="5">
        <v>83.08</v>
      </c>
      <c r="K791">
        <v>4.1539999999999999</v>
      </c>
    </row>
    <row r="792" spans="10:11" x14ac:dyDescent="0.3">
      <c r="J792" s="5">
        <v>83.14</v>
      </c>
      <c r="K792">
        <v>29.099</v>
      </c>
    </row>
    <row r="793" spans="10:11" x14ac:dyDescent="0.3">
      <c r="J793" s="5">
        <v>83.17</v>
      </c>
      <c r="K793">
        <v>24.951000000000001</v>
      </c>
    </row>
    <row r="794" spans="10:11" x14ac:dyDescent="0.3">
      <c r="J794" s="5">
        <v>83.24</v>
      </c>
      <c r="K794">
        <v>37.457999999999998</v>
      </c>
    </row>
    <row r="795" spans="10:11" x14ac:dyDescent="0.3">
      <c r="J795" s="5">
        <v>83.25</v>
      </c>
      <c r="K795">
        <v>41.625</v>
      </c>
    </row>
    <row r="796" spans="10:11" x14ac:dyDescent="0.3">
      <c r="J796" s="5">
        <v>83.34</v>
      </c>
      <c r="K796">
        <v>8.3339999999999996</v>
      </c>
    </row>
    <row r="797" spans="10:11" x14ac:dyDescent="0.3">
      <c r="J797" s="5">
        <v>83.35</v>
      </c>
      <c r="K797">
        <v>8.3350000000000009</v>
      </c>
    </row>
    <row r="798" spans="10:11" x14ac:dyDescent="0.3">
      <c r="J798" s="5">
        <v>83.66</v>
      </c>
      <c r="K798">
        <v>20.914999999999999</v>
      </c>
    </row>
    <row r="799" spans="10:11" x14ac:dyDescent="0.3">
      <c r="J799" s="5">
        <v>83.77</v>
      </c>
      <c r="K799">
        <v>41.885000000000005</v>
      </c>
    </row>
    <row r="800" spans="10:11" x14ac:dyDescent="0.3">
      <c r="J800" s="5">
        <v>83.78</v>
      </c>
      <c r="K800">
        <v>33.512</v>
      </c>
    </row>
    <row r="801" spans="10:11" x14ac:dyDescent="0.3">
      <c r="J801" s="5">
        <v>84.05</v>
      </c>
      <c r="K801">
        <v>37.822499999999998</v>
      </c>
    </row>
    <row r="802" spans="10:11" x14ac:dyDescent="0.3">
      <c r="J802" s="5">
        <v>84.07</v>
      </c>
      <c r="K802">
        <v>16.814</v>
      </c>
    </row>
    <row r="803" spans="10:11" x14ac:dyDescent="0.3">
      <c r="J803" s="5">
        <v>84.09</v>
      </c>
      <c r="K803">
        <v>37.840499999999999</v>
      </c>
    </row>
    <row r="804" spans="10:11" x14ac:dyDescent="0.3">
      <c r="J804" s="5">
        <v>84.25</v>
      </c>
      <c r="K804">
        <v>8.4250000000000007</v>
      </c>
    </row>
    <row r="805" spans="10:11" x14ac:dyDescent="0.3">
      <c r="J805" s="5">
        <v>84.61</v>
      </c>
      <c r="K805">
        <v>42.305</v>
      </c>
    </row>
    <row r="806" spans="10:11" x14ac:dyDescent="0.3">
      <c r="J806" s="5">
        <v>84.63</v>
      </c>
      <c r="K806">
        <v>42.314999999999998</v>
      </c>
    </row>
    <row r="807" spans="10:11" x14ac:dyDescent="0.3">
      <c r="J807" s="5">
        <v>84.83</v>
      </c>
      <c r="K807">
        <v>4.2415000000000003</v>
      </c>
    </row>
    <row r="808" spans="10:11" x14ac:dyDescent="0.3">
      <c r="J808" s="5">
        <v>84.87</v>
      </c>
      <c r="K808">
        <v>12.730499999999999</v>
      </c>
    </row>
    <row r="809" spans="10:11" x14ac:dyDescent="0.3">
      <c r="J809" s="5">
        <v>85.39</v>
      </c>
      <c r="K809">
        <v>29.886500000000002</v>
      </c>
    </row>
    <row r="810" spans="10:11" x14ac:dyDescent="0.3">
      <c r="J810" s="5">
        <v>85.6</v>
      </c>
      <c r="K810">
        <v>29.96</v>
      </c>
    </row>
    <row r="811" spans="10:11" x14ac:dyDescent="0.3">
      <c r="J811" s="5">
        <v>85.72</v>
      </c>
      <c r="K811">
        <v>12.858000000000001</v>
      </c>
    </row>
    <row r="812" spans="10:11" x14ac:dyDescent="0.3">
      <c r="J812" s="5">
        <v>85.87</v>
      </c>
      <c r="K812">
        <v>30.054500000000001</v>
      </c>
    </row>
    <row r="813" spans="10:11" x14ac:dyDescent="0.3">
      <c r="J813" s="5">
        <v>85.91</v>
      </c>
      <c r="K813">
        <v>21.477499999999999</v>
      </c>
    </row>
    <row r="814" spans="10:11" x14ac:dyDescent="0.3">
      <c r="J814" s="5">
        <v>85.98</v>
      </c>
      <c r="K814">
        <v>34.392000000000003</v>
      </c>
    </row>
    <row r="815" spans="10:11" x14ac:dyDescent="0.3">
      <c r="J815" s="5">
        <v>86.04</v>
      </c>
      <c r="K815">
        <v>21.51</v>
      </c>
    </row>
    <row r="816" spans="10:11" x14ac:dyDescent="0.3">
      <c r="J816" s="5">
        <v>86.13</v>
      </c>
      <c r="K816">
        <v>8.6129999999999995</v>
      </c>
    </row>
    <row r="817" spans="10:11" x14ac:dyDescent="0.3">
      <c r="J817" s="5">
        <v>86.27</v>
      </c>
      <c r="K817">
        <v>4.3135000000000003</v>
      </c>
    </row>
    <row r="818" spans="10:11" x14ac:dyDescent="0.3">
      <c r="J818" s="5">
        <v>86.31</v>
      </c>
      <c r="K818">
        <v>30.208500000000001</v>
      </c>
    </row>
    <row r="819" spans="10:11" x14ac:dyDescent="0.3">
      <c r="J819" s="5">
        <v>86.68</v>
      </c>
      <c r="K819">
        <v>34.671999999999997</v>
      </c>
    </row>
    <row r="820" spans="10:11" x14ac:dyDescent="0.3">
      <c r="J820" s="5">
        <v>86.69</v>
      </c>
      <c r="K820">
        <v>21.672499999999999</v>
      </c>
    </row>
    <row r="821" spans="10:11" x14ac:dyDescent="0.3">
      <c r="J821" s="5">
        <v>86.72</v>
      </c>
      <c r="K821">
        <v>4.3360000000000003</v>
      </c>
    </row>
    <row r="822" spans="10:11" x14ac:dyDescent="0.3">
      <c r="J822" s="5">
        <v>86.8</v>
      </c>
      <c r="K822">
        <v>13.02</v>
      </c>
    </row>
    <row r="823" spans="10:11" x14ac:dyDescent="0.3">
      <c r="J823" s="5">
        <v>87.08</v>
      </c>
      <c r="K823">
        <v>30.478000000000002</v>
      </c>
    </row>
    <row r="824" spans="10:11" x14ac:dyDescent="0.3">
      <c r="J824" s="5">
        <v>87.1</v>
      </c>
      <c r="K824">
        <v>43.55</v>
      </c>
    </row>
    <row r="825" spans="10:11" x14ac:dyDescent="0.3">
      <c r="J825" s="5">
        <v>87.16</v>
      </c>
      <c r="K825">
        <v>8.7159999999999993</v>
      </c>
    </row>
    <row r="826" spans="10:11" x14ac:dyDescent="0.3">
      <c r="J826" s="5">
        <v>87.37</v>
      </c>
      <c r="K826">
        <v>21.842500000000001</v>
      </c>
    </row>
    <row r="827" spans="10:11" x14ac:dyDescent="0.3">
      <c r="J827" s="5">
        <v>87.45</v>
      </c>
      <c r="K827">
        <v>26.234999999999999</v>
      </c>
    </row>
    <row r="828" spans="10:11" x14ac:dyDescent="0.3">
      <c r="J828" s="5">
        <v>87.48</v>
      </c>
      <c r="K828">
        <v>26.244</v>
      </c>
    </row>
    <row r="829" spans="10:11" x14ac:dyDescent="0.3">
      <c r="J829" s="5">
        <v>87.67</v>
      </c>
      <c r="K829">
        <v>8.7669999999999995</v>
      </c>
    </row>
    <row r="830" spans="10:11" x14ac:dyDescent="0.3">
      <c r="J830" s="5">
        <v>87.8</v>
      </c>
      <c r="K830">
        <v>39.51</v>
      </c>
    </row>
    <row r="831" spans="10:11" x14ac:dyDescent="0.3">
      <c r="J831" s="5">
        <v>87.87</v>
      </c>
      <c r="K831">
        <v>83.476500000000001</v>
      </c>
    </row>
    <row r="832" spans="10:11" x14ac:dyDescent="0.3">
      <c r="J832" s="5">
        <v>87.9</v>
      </c>
      <c r="K832">
        <v>4.3949999999999996</v>
      </c>
    </row>
    <row r="833" spans="10:11" x14ac:dyDescent="0.3">
      <c r="J833" s="5">
        <v>87.91</v>
      </c>
      <c r="K833">
        <v>21.977499999999999</v>
      </c>
    </row>
    <row r="834" spans="10:11" x14ac:dyDescent="0.3">
      <c r="J834" s="5">
        <v>87.98</v>
      </c>
      <c r="K834">
        <v>13.196999999999999</v>
      </c>
    </row>
    <row r="835" spans="10:11" x14ac:dyDescent="0.3">
      <c r="J835" s="5">
        <v>88.15</v>
      </c>
      <c r="K835">
        <v>13.2225</v>
      </c>
    </row>
    <row r="836" spans="10:11" x14ac:dyDescent="0.3">
      <c r="J836" s="5">
        <v>88.25</v>
      </c>
      <c r="K836">
        <v>39.712499999999999</v>
      </c>
    </row>
    <row r="837" spans="10:11" x14ac:dyDescent="0.3">
      <c r="J837" s="5">
        <v>88.31</v>
      </c>
      <c r="K837">
        <v>4.4154999999999998</v>
      </c>
    </row>
    <row r="838" spans="10:11" x14ac:dyDescent="0.3">
      <c r="J838" s="5">
        <v>88.34</v>
      </c>
      <c r="K838">
        <v>30.919</v>
      </c>
    </row>
    <row r="839" spans="10:11" x14ac:dyDescent="0.3">
      <c r="J839" s="5">
        <v>88.36</v>
      </c>
      <c r="K839">
        <v>22.09</v>
      </c>
    </row>
    <row r="840" spans="10:11" x14ac:dyDescent="0.3">
      <c r="J840" s="5">
        <v>88.39</v>
      </c>
      <c r="K840">
        <v>39.775500000000001</v>
      </c>
    </row>
    <row r="841" spans="10:11" x14ac:dyDescent="0.3">
      <c r="J841" s="5">
        <v>88.43</v>
      </c>
      <c r="K841">
        <v>35.372</v>
      </c>
    </row>
    <row r="842" spans="10:11" x14ac:dyDescent="0.3">
      <c r="J842" s="5">
        <v>88.45</v>
      </c>
      <c r="K842">
        <v>4.4225000000000003</v>
      </c>
    </row>
    <row r="843" spans="10:11" x14ac:dyDescent="0.3">
      <c r="J843" s="5">
        <v>88.55</v>
      </c>
      <c r="K843">
        <v>35.42</v>
      </c>
    </row>
    <row r="844" spans="10:11" x14ac:dyDescent="0.3">
      <c r="J844" s="5">
        <v>88.61</v>
      </c>
      <c r="K844">
        <v>4.4305000000000003</v>
      </c>
    </row>
    <row r="845" spans="10:11" x14ac:dyDescent="0.3">
      <c r="J845" s="5">
        <v>88.63</v>
      </c>
      <c r="K845">
        <v>13.294499999999999</v>
      </c>
    </row>
    <row r="846" spans="10:11" x14ac:dyDescent="0.3">
      <c r="J846" s="5">
        <v>88.67</v>
      </c>
      <c r="K846">
        <v>44.335000000000001</v>
      </c>
    </row>
    <row r="847" spans="10:11" x14ac:dyDescent="0.3">
      <c r="J847" s="5">
        <v>88.79</v>
      </c>
      <c r="K847">
        <v>35.515999999999998</v>
      </c>
    </row>
    <row r="848" spans="10:11" x14ac:dyDescent="0.3">
      <c r="J848" s="5">
        <v>89.06</v>
      </c>
      <c r="K848">
        <v>26.718</v>
      </c>
    </row>
    <row r="849" spans="10:11" x14ac:dyDescent="0.3">
      <c r="J849" s="5">
        <v>89.14</v>
      </c>
      <c r="K849">
        <v>17.827999999999999</v>
      </c>
    </row>
    <row r="850" spans="10:11" x14ac:dyDescent="0.3">
      <c r="J850" s="5">
        <v>89.2</v>
      </c>
      <c r="K850">
        <v>44.6</v>
      </c>
    </row>
    <row r="851" spans="10:11" x14ac:dyDescent="0.3">
      <c r="J851" s="5">
        <v>89.21</v>
      </c>
      <c r="K851">
        <v>40.144500000000001</v>
      </c>
    </row>
    <row r="852" spans="10:11" x14ac:dyDescent="0.3">
      <c r="J852" s="5">
        <v>89.25</v>
      </c>
      <c r="K852">
        <v>35.700000000000003</v>
      </c>
    </row>
    <row r="853" spans="10:11" x14ac:dyDescent="0.3">
      <c r="J853" s="5">
        <v>89.48</v>
      </c>
      <c r="K853">
        <v>67.11</v>
      </c>
    </row>
    <row r="854" spans="10:11" x14ac:dyDescent="0.3">
      <c r="J854" s="5">
        <v>89.6</v>
      </c>
      <c r="K854">
        <v>35.840000000000003</v>
      </c>
    </row>
    <row r="855" spans="10:11" x14ac:dyDescent="0.3">
      <c r="J855" s="5">
        <v>89.69</v>
      </c>
      <c r="K855">
        <v>4.4844999999999997</v>
      </c>
    </row>
    <row r="856" spans="10:11" x14ac:dyDescent="0.3">
      <c r="J856" s="5">
        <v>89.75</v>
      </c>
      <c r="K856">
        <v>4.4874999999999998</v>
      </c>
    </row>
    <row r="857" spans="10:11" x14ac:dyDescent="0.3">
      <c r="J857" s="5">
        <v>89.8</v>
      </c>
      <c r="K857">
        <v>44.9</v>
      </c>
    </row>
    <row r="858" spans="10:11" x14ac:dyDescent="0.3">
      <c r="J858" s="5">
        <v>90.02</v>
      </c>
      <c r="K858">
        <v>36.008000000000003</v>
      </c>
    </row>
    <row r="859" spans="10:11" x14ac:dyDescent="0.3">
      <c r="J859" s="5">
        <v>90.22</v>
      </c>
      <c r="K859">
        <v>13.532999999999999</v>
      </c>
    </row>
    <row r="860" spans="10:11" x14ac:dyDescent="0.3">
      <c r="J860" s="5">
        <v>90.24</v>
      </c>
      <c r="K860">
        <v>27.071999999999999</v>
      </c>
    </row>
    <row r="861" spans="10:11" x14ac:dyDescent="0.3">
      <c r="J861" s="5">
        <v>90.28</v>
      </c>
      <c r="K861">
        <v>40.625999999999998</v>
      </c>
    </row>
    <row r="862" spans="10:11" x14ac:dyDescent="0.3">
      <c r="J862" s="5">
        <v>90.5</v>
      </c>
      <c r="K862">
        <v>45.25</v>
      </c>
    </row>
    <row r="863" spans="10:11" x14ac:dyDescent="0.3">
      <c r="J863" s="5">
        <v>90.53</v>
      </c>
      <c r="K863">
        <v>36.212000000000003</v>
      </c>
    </row>
    <row r="864" spans="10:11" x14ac:dyDescent="0.3">
      <c r="J864" s="5">
        <v>90.63</v>
      </c>
      <c r="K864">
        <v>40.783499999999997</v>
      </c>
    </row>
    <row r="865" spans="10:11" x14ac:dyDescent="0.3">
      <c r="J865" s="5">
        <v>90.65</v>
      </c>
      <c r="K865">
        <v>45.325000000000003</v>
      </c>
    </row>
    <row r="866" spans="10:11" x14ac:dyDescent="0.3">
      <c r="J866" s="5">
        <v>90.7</v>
      </c>
      <c r="K866">
        <v>27.21</v>
      </c>
    </row>
    <row r="867" spans="10:11" x14ac:dyDescent="0.3">
      <c r="J867" s="5">
        <v>90.74</v>
      </c>
      <c r="K867">
        <v>31.759</v>
      </c>
    </row>
    <row r="868" spans="10:11" x14ac:dyDescent="0.3">
      <c r="J868" s="5">
        <v>91.3</v>
      </c>
      <c r="K868">
        <v>4.5650000000000004</v>
      </c>
    </row>
    <row r="869" spans="10:11" x14ac:dyDescent="0.3">
      <c r="J869" s="5">
        <v>91.35</v>
      </c>
      <c r="K869">
        <v>4.5674999999999999</v>
      </c>
    </row>
    <row r="870" spans="10:11" x14ac:dyDescent="0.3">
      <c r="J870" s="5">
        <v>91.4</v>
      </c>
      <c r="K870">
        <v>31.99</v>
      </c>
    </row>
    <row r="871" spans="10:11" x14ac:dyDescent="0.3">
      <c r="J871" s="5">
        <v>91.41</v>
      </c>
      <c r="K871">
        <v>22.852499999999999</v>
      </c>
    </row>
    <row r="872" spans="10:11" x14ac:dyDescent="0.3">
      <c r="J872" s="5">
        <v>91.54</v>
      </c>
      <c r="K872">
        <v>18.308</v>
      </c>
    </row>
    <row r="873" spans="10:11" x14ac:dyDescent="0.3">
      <c r="J873" s="5">
        <v>91.56</v>
      </c>
      <c r="K873">
        <v>36.624000000000002</v>
      </c>
    </row>
    <row r="874" spans="10:11" x14ac:dyDescent="0.3">
      <c r="J874" s="5">
        <v>91.61</v>
      </c>
      <c r="K874">
        <v>4.5804999999999998</v>
      </c>
    </row>
    <row r="875" spans="10:11" x14ac:dyDescent="0.3">
      <c r="J875" s="5">
        <v>91.98</v>
      </c>
      <c r="K875">
        <v>4.5990000000000002</v>
      </c>
    </row>
    <row r="876" spans="10:11" x14ac:dyDescent="0.3">
      <c r="J876" s="5">
        <v>92.09</v>
      </c>
      <c r="K876">
        <v>13.813499999999999</v>
      </c>
    </row>
    <row r="877" spans="10:11" x14ac:dyDescent="0.3">
      <c r="J877" s="5">
        <v>92.13</v>
      </c>
      <c r="K877">
        <v>27.638999999999999</v>
      </c>
    </row>
    <row r="878" spans="10:11" x14ac:dyDescent="0.3">
      <c r="J878" s="5">
        <v>92.29</v>
      </c>
      <c r="K878">
        <v>23.072500000000002</v>
      </c>
    </row>
    <row r="879" spans="10:11" x14ac:dyDescent="0.3">
      <c r="J879" s="5">
        <v>92.36</v>
      </c>
      <c r="K879">
        <v>23.09</v>
      </c>
    </row>
    <row r="880" spans="10:11" x14ac:dyDescent="0.3">
      <c r="J880" s="5">
        <v>92.49</v>
      </c>
      <c r="K880">
        <v>23.122499999999999</v>
      </c>
    </row>
    <row r="881" spans="10:11" x14ac:dyDescent="0.3">
      <c r="J881" s="5">
        <v>92.6</v>
      </c>
      <c r="K881">
        <v>32.409999999999997</v>
      </c>
    </row>
    <row r="882" spans="10:11" x14ac:dyDescent="0.3">
      <c r="J882" s="5">
        <v>92.78</v>
      </c>
      <c r="K882">
        <v>4.6390000000000002</v>
      </c>
    </row>
    <row r="883" spans="10:11" x14ac:dyDescent="0.3">
      <c r="J883" s="5">
        <v>92.98</v>
      </c>
      <c r="K883">
        <v>9.298</v>
      </c>
    </row>
    <row r="884" spans="10:11" x14ac:dyDescent="0.3">
      <c r="J884" s="5">
        <v>93.12</v>
      </c>
      <c r="K884">
        <v>37.247999999999998</v>
      </c>
    </row>
    <row r="885" spans="10:11" x14ac:dyDescent="0.3">
      <c r="J885" s="5">
        <v>93.14</v>
      </c>
      <c r="K885">
        <v>9.3140000000000001</v>
      </c>
    </row>
    <row r="886" spans="10:11" x14ac:dyDescent="0.3">
      <c r="J886" s="5">
        <v>93.18</v>
      </c>
      <c r="K886">
        <v>9.3179999999999996</v>
      </c>
    </row>
    <row r="887" spans="10:11" x14ac:dyDescent="0.3">
      <c r="J887" s="5">
        <v>93.2</v>
      </c>
      <c r="K887">
        <v>9.32</v>
      </c>
    </row>
    <row r="888" spans="10:11" x14ac:dyDescent="0.3">
      <c r="J888" s="5">
        <v>93.22</v>
      </c>
      <c r="K888">
        <v>13.983000000000001</v>
      </c>
    </row>
    <row r="889" spans="10:11" x14ac:dyDescent="0.3">
      <c r="J889" s="5">
        <v>93.26</v>
      </c>
      <c r="K889">
        <v>41.966999999999999</v>
      </c>
    </row>
    <row r="890" spans="10:11" x14ac:dyDescent="0.3">
      <c r="J890" s="5">
        <v>93.31</v>
      </c>
      <c r="K890">
        <v>9.3309999999999995</v>
      </c>
    </row>
    <row r="891" spans="10:11" x14ac:dyDescent="0.3">
      <c r="J891" s="5">
        <v>93.38</v>
      </c>
      <c r="K891">
        <v>4.6689999999999996</v>
      </c>
    </row>
    <row r="892" spans="10:11" x14ac:dyDescent="0.3">
      <c r="J892" s="5">
        <v>93.39</v>
      </c>
      <c r="K892">
        <v>28.016999999999999</v>
      </c>
    </row>
    <row r="893" spans="10:11" x14ac:dyDescent="0.3">
      <c r="J893" s="5">
        <v>93.4</v>
      </c>
      <c r="K893">
        <v>9.34</v>
      </c>
    </row>
    <row r="894" spans="10:11" x14ac:dyDescent="0.3">
      <c r="J894" s="5">
        <v>93.69</v>
      </c>
      <c r="K894">
        <v>32.791499999999999</v>
      </c>
    </row>
    <row r="895" spans="10:11" x14ac:dyDescent="0.3">
      <c r="J895" s="5">
        <v>93.72</v>
      </c>
      <c r="K895">
        <v>28.116</v>
      </c>
    </row>
    <row r="896" spans="10:11" x14ac:dyDescent="0.3">
      <c r="J896" s="5">
        <v>93.78</v>
      </c>
      <c r="K896">
        <v>14.067</v>
      </c>
    </row>
    <row r="897" spans="10:11" x14ac:dyDescent="0.3">
      <c r="J897" s="5">
        <v>93.87</v>
      </c>
      <c r="K897">
        <v>37.548000000000002</v>
      </c>
    </row>
    <row r="898" spans="10:11" x14ac:dyDescent="0.3">
      <c r="J898" s="5">
        <v>93.88</v>
      </c>
      <c r="K898">
        <v>32.857999999999997</v>
      </c>
    </row>
    <row r="899" spans="10:11" x14ac:dyDescent="0.3">
      <c r="J899" s="5">
        <v>93.96</v>
      </c>
      <c r="K899">
        <v>61.073999999999998</v>
      </c>
    </row>
    <row r="900" spans="10:11" x14ac:dyDescent="0.3">
      <c r="J900" s="5">
        <v>94.13</v>
      </c>
      <c r="K900">
        <v>23.532499999999999</v>
      </c>
    </row>
    <row r="901" spans="10:11" x14ac:dyDescent="0.3">
      <c r="J901" s="5">
        <v>94.26</v>
      </c>
      <c r="K901">
        <v>18.852</v>
      </c>
    </row>
    <row r="902" spans="10:11" x14ac:dyDescent="0.3">
      <c r="J902" s="5">
        <v>94.47</v>
      </c>
      <c r="K902">
        <v>37.787999999999997</v>
      </c>
    </row>
    <row r="903" spans="10:11" x14ac:dyDescent="0.3">
      <c r="J903" s="5">
        <v>94.49</v>
      </c>
      <c r="K903">
        <v>37.795999999999999</v>
      </c>
    </row>
    <row r="904" spans="10:11" x14ac:dyDescent="0.3">
      <c r="J904" s="5">
        <v>94.59</v>
      </c>
      <c r="K904">
        <v>33.106499999999997</v>
      </c>
    </row>
    <row r="905" spans="10:11" x14ac:dyDescent="0.3">
      <c r="J905" s="5">
        <v>94.64</v>
      </c>
      <c r="K905">
        <v>14.196</v>
      </c>
    </row>
    <row r="906" spans="10:11" x14ac:dyDescent="0.3">
      <c r="J906" s="5">
        <v>94.67</v>
      </c>
      <c r="K906">
        <v>18.934000000000001</v>
      </c>
    </row>
    <row r="907" spans="10:11" x14ac:dyDescent="0.3">
      <c r="J907" s="5">
        <v>94.76</v>
      </c>
      <c r="K907">
        <v>18.952000000000002</v>
      </c>
    </row>
    <row r="908" spans="10:11" x14ac:dyDescent="0.3">
      <c r="J908" s="5">
        <v>94.87</v>
      </c>
      <c r="K908">
        <v>37.948</v>
      </c>
    </row>
    <row r="909" spans="10:11" x14ac:dyDescent="0.3">
      <c r="J909" s="5">
        <v>94.88</v>
      </c>
      <c r="K909">
        <v>33.207999999999998</v>
      </c>
    </row>
    <row r="910" spans="10:11" x14ac:dyDescent="0.3">
      <c r="J910" s="5">
        <v>95.15</v>
      </c>
      <c r="K910">
        <v>4.7575000000000003</v>
      </c>
    </row>
    <row r="911" spans="10:11" x14ac:dyDescent="0.3">
      <c r="J911" s="5">
        <v>95.42</v>
      </c>
      <c r="K911">
        <v>19.084</v>
      </c>
    </row>
    <row r="912" spans="10:11" x14ac:dyDescent="0.3">
      <c r="J912" s="5">
        <v>95.44</v>
      </c>
      <c r="K912">
        <v>47.72</v>
      </c>
    </row>
    <row r="913" spans="10:11" x14ac:dyDescent="0.3">
      <c r="J913" s="5">
        <v>95.46</v>
      </c>
      <c r="K913">
        <v>38.183999999999997</v>
      </c>
    </row>
    <row r="914" spans="10:11" x14ac:dyDescent="0.3">
      <c r="J914" s="5">
        <v>95.49</v>
      </c>
      <c r="K914">
        <v>33.421500000000002</v>
      </c>
    </row>
    <row r="915" spans="10:11" x14ac:dyDescent="0.3">
      <c r="J915" s="5">
        <v>95.54</v>
      </c>
      <c r="K915">
        <v>52.546999999999997</v>
      </c>
    </row>
    <row r="916" spans="10:11" x14ac:dyDescent="0.3">
      <c r="J916" s="5">
        <v>95.58</v>
      </c>
      <c r="K916">
        <v>47.79</v>
      </c>
    </row>
    <row r="917" spans="10:11" x14ac:dyDescent="0.3">
      <c r="J917" s="5">
        <v>95.64</v>
      </c>
      <c r="K917">
        <v>19.128</v>
      </c>
    </row>
    <row r="918" spans="10:11" x14ac:dyDescent="0.3">
      <c r="J918" s="5">
        <v>95.95</v>
      </c>
      <c r="K918">
        <v>23.987500000000001</v>
      </c>
    </row>
    <row r="919" spans="10:11" x14ac:dyDescent="0.3">
      <c r="J919" s="5">
        <v>96.11</v>
      </c>
      <c r="K919">
        <v>4.8055000000000003</v>
      </c>
    </row>
    <row r="920" spans="10:11" x14ac:dyDescent="0.3">
      <c r="J920" s="5">
        <v>96.16</v>
      </c>
      <c r="K920">
        <v>19.231999999999999</v>
      </c>
    </row>
    <row r="921" spans="10:11" x14ac:dyDescent="0.3">
      <c r="J921" s="5">
        <v>96.37</v>
      </c>
      <c r="K921">
        <v>33.729500000000002</v>
      </c>
    </row>
    <row r="922" spans="10:11" x14ac:dyDescent="0.3">
      <c r="J922" s="5">
        <v>96.52</v>
      </c>
      <c r="K922">
        <v>28.956</v>
      </c>
    </row>
    <row r="923" spans="10:11" x14ac:dyDescent="0.3">
      <c r="J923" s="5">
        <v>96.58</v>
      </c>
      <c r="K923">
        <v>9.6579999999999995</v>
      </c>
    </row>
    <row r="924" spans="10:11" x14ac:dyDescent="0.3">
      <c r="J924" s="5">
        <v>96.68</v>
      </c>
      <c r="K924">
        <v>14.502000000000001</v>
      </c>
    </row>
    <row r="925" spans="10:11" x14ac:dyDescent="0.3">
      <c r="J925" s="5">
        <v>96.7</v>
      </c>
      <c r="K925">
        <v>24.175000000000001</v>
      </c>
    </row>
    <row r="926" spans="10:11" x14ac:dyDescent="0.3">
      <c r="J926" s="5">
        <v>96.8</v>
      </c>
      <c r="K926">
        <v>14.52</v>
      </c>
    </row>
    <row r="927" spans="10:11" x14ac:dyDescent="0.3">
      <c r="J927" s="5">
        <v>96.82</v>
      </c>
      <c r="K927">
        <v>14.523</v>
      </c>
    </row>
    <row r="928" spans="10:11" x14ac:dyDescent="0.3">
      <c r="J928" s="5">
        <v>96.98</v>
      </c>
      <c r="K928">
        <v>19.396000000000001</v>
      </c>
    </row>
    <row r="929" spans="10:11" x14ac:dyDescent="0.3">
      <c r="J929" s="5">
        <v>97.03</v>
      </c>
      <c r="K929">
        <v>24.2575</v>
      </c>
    </row>
    <row r="930" spans="10:11" x14ac:dyDescent="0.3">
      <c r="J930" s="5">
        <v>97.16</v>
      </c>
      <c r="K930">
        <v>4.8579999999999997</v>
      </c>
    </row>
    <row r="931" spans="10:11" x14ac:dyDescent="0.3">
      <c r="J931" s="5">
        <v>97.21</v>
      </c>
      <c r="K931">
        <v>48.604999999999997</v>
      </c>
    </row>
    <row r="932" spans="10:11" x14ac:dyDescent="0.3">
      <c r="J932" s="5">
        <v>97.22</v>
      </c>
      <c r="K932">
        <v>43.749000000000002</v>
      </c>
    </row>
    <row r="933" spans="10:11" x14ac:dyDescent="0.3">
      <c r="J933" s="5">
        <v>97.26</v>
      </c>
      <c r="K933">
        <v>19.452000000000002</v>
      </c>
    </row>
    <row r="934" spans="10:11" x14ac:dyDescent="0.3">
      <c r="J934" s="5">
        <v>97.29</v>
      </c>
      <c r="K934">
        <v>38.915999999999997</v>
      </c>
    </row>
    <row r="935" spans="10:11" x14ac:dyDescent="0.3">
      <c r="J935" s="5">
        <v>97.37</v>
      </c>
      <c r="K935">
        <v>48.685000000000002</v>
      </c>
    </row>
    <row r="936" spans="10:11" x14ac:dyDescent="0.3">
      <c r="J936" s="5">
        <v>97.38</v>
      </c>
      <c r="K936">
        <v>48.69</v>
      </c>
    </row>
    <row r="937" spans="10:11" x14ac:dyDescent="0.3">
      <c r="J937" s="5">
        <v>97.48</v>
      </c>
      <c r="K937">
        <v>43.866</v>
      </c>
    </row>
    <row r="938" spans="10:11" x14ac:dyDescent="0.3">
      <c r="J938" s="5">
        <v>97.5</v>
      </c>
      <c r="K938">
        <v>48.75</v>
      </c>
    </row>
    <row r="939" spans="10:11" x14ac:dyDescent="0.3">
      <c r="J939" s="5">
        <v>97.61</v>
      </c>
      <c r="K939">
        <v>29.283000000000001</v>
      </c>
    </row>
    <row r="940" spans="10:11" x14ac:dyDescent="0.3">
      <c r="J940" s="5">
        <v>97.74</v>
      </c>
      <c r="K940">
        <v>19.547999999999998</v>
      </c>
    </row>
    <row r="941" spans="10:11" x14ac:dyDescent="0.3">
      <c r="J941" s="5">
        <v>97.79</v>
      </c>
      <c r="K941">
        <v>34.226500000000001</v>
      </c>
    </row>
    <row r="942" spans="10:11" x14ac:dyDescent="0.3">
      <c r="J942" s="5">
        <v>97.94</v>
      </c>
      <c r="K942">
        <v>4.8970000000000002</v>
      </c>
    </row>
    <row r="943" spans="10:11" x14ac:dyDescent="0.3">
      <c r="J943" s="5">
        <v>98.09</v>
      </c>
      <c r="K943">
        <v>44.140500000000003</v>
      </c>
    </row>
    <row r="944" spans="10:11" x14ac:dyDescent="0.3">
      <c r="J944" s="5">
        <v>98.13</v>
      </c>
      <c r="K944">
        <v>4.9065000000000003</v>
      </c>
    </row>
    <row r="945" spans="10:11" x14ac:dyDescent="0.3">
      <c r="J945" s="5">
        <v>98.21</v>
      </c>
      <c r="K945">
        <v>14.7315</v>
      </c>
    </row>
    <row r="946" spans="10:11" x14ac:dyDescent="0.3">
      <c r="J946" s="5">
        <v>98.4</v>
      </c>
      <c r="K946">
        <v>34.44</v>
      </c>
    </row>
    <row r="947" spans="10:11" x14ac:dyDescent="0.3">
      <c r="J947" s="5">
        <v>98.48</v>
      </c>
      <c r="K947">
        <v>9.8480000000000008</v>
      </c>
    </row>
    <row r="948" spans="10:11" x14ac:dyDescent="0.3">
      <c r="J948" s="5">
        <v>98.52</v>
      </c>
      <c r="K948">
        <v>49.26</v>
      </c>
    </row>
    <row r="949" spans="10:11" x14ac:dyDescent="0.3">
      <c r="J949" s="5">
        <v>98.53</v>
      </c>
      <c r="K949">
        <v>29.559000000000001</v>
      </c>
    </row>
    <row r="950" spans="10:11" x14ac:dyDescent="0.3">
      <c r="J950" s="5">
        <v>98.66</v>
      </c>
      <c r="K950">
        <v>44.396999999999998</v>
      </c>
    </row>
    <row r="951" spans="10:11" x14ac:dyDescent="0.3">
      <c r="J951" s="5">
        <v>98.7</v>
      </c>
      <c r="K951">
        <v>78.959999999999994</v>
      </c>
    </row>
    <row r="952" spans="10:11" x14ac:dyDescent="0.3">
      <c r="J952" s="5">
        <v>98.79</v>
      </c>
      <c r="K952">
        <v>14.8185</v>
      </c>
    </row>
    <row r="953" spans="10:11" x14ac:dyDescent="0.3">
      <c r="J953" s="5">
        <v>98.8</v>
      </c>
      <c r="K953">
        <v>9.8800000000000008</v>
      </c>
    </row>
    <row r="954" spans="10:11" x14ac:dyDescent="0.3">
      <c r="J954" s="5">
        <v>98.84</v>
      </c>
      <c r="K954">
        <v>4.9420000000000002</v>
      </c>
    </row>
    <row r="955" spans="10:11" x14ac:dyDescent="0.3">
      <c r="J955" s="5">
        <v>98.97</v>
      </c>
      <c r="K955">
        <v>44.536499999999997</v>
      </c>
    </row>
    <row r="956" spans="10:11" x14ac:dyDescent="0.3">
      <c r="J956" s="5">
        <v>98.98</v>
      </c>
      <c r="K956">
        <v>49.49</v>
      </c>
    </row>
    <row r="957" spans="10:11" x14ac:dyDescent="0.3">
      <c r="J957" s="5">
        <v>99.1</v>
      </c>
      <c r="K957">
        <v>29.73</v>
      </c>
    </row>
    <row r="958" spans="10:11" x14ac:dyDescent="0.3">
      <c r="J958" s="5">
        <v>99.16</v>
      </c>
      <c r="K958">
        <v>39.664000000000001</v>
      </c>
    </row>
    <row r="959" spans="10:11" x14ac:dyDescent="0.3">
      <c r="J959" s="5">
        <v>99.19</v>
      </c>
      <c r="K959">
        <v>29.757000000000001</v>
      </c>
    </row>
    <row r="960" spans="10:11" x14ac:dyDescent="0.3">
      <c r="J960" s="5">
        <v>99.24</v>
      </c>
      <c r="K960">
        <v>44.658000000000001</v>
      </c>
    </row>
    <row r="961" spans="10:11" x14ac:dyDescent="0.3">
      <c r="J961" s="5">
        <v>99.25</v>
      </c>
      <c r="K961">
        <v>9.9250000000000007</v>
      </c>
    </row>
    <row r="962" spans="10:11" x14ac:dyDescent="0.3">
      <c r="J962" s="5">
        <v>99.3</v>
      </c>
      <c r="K962">
        <v>49.65</v>
      </c>
    </row>
    <row r="963" spans="10:11" x14ac:dyDescent="0.3">
      <c r="J963" s="5">
        <v>99.37</v>
      </c>
      <c r="K963">
        <v>9.9369999999999994</v>
      </c>
    </row>
    <row r="964" spans="10:11" x14ac:dyDescent="0.3">
      <c r="J964" s="5">
        <v>99.42</v>
      </c>
      <c r="K964">
        <v>19.884</v>
      </c>
    </row>
    <row r="965" spans="10:11" x14ac:dyDescent="0.3">
      <c r="J965" s="5">
        <v>99.55</v>
      </c>
      <c r="K965">
        <v>34.842500000000001</v>
      </c>
    </row>
    <row r="966" spans="10:11" x14ac:dyDescent="0.3">
      <c r="J966" s="5">
        <v>99.56</v>
      </c>
      <c r="K966">
        <v>39.823999999999998</v>
      </c>
    </row>
    <row r="967" spans="10:11" x14ac:dyDescent="0.3">
      <c r="J967" s="5">
        <v>99.6</v>
      </c>
      <c r="K967">
        <v>14.94</v>
      </c>
    </row>
    <row r="968" spans="10:11" x14ac:dyDescent="0.3">
      <c r="J968" s="5">
        <v>99.69</v>
      </c>
      <c r="K968">
        <v>29.907</v>
      </c>
    </row>
    <row r="969" spans="10:11" x14ac:dyDescent="0.3">
      <c r="J969" s="5">
        <v>99.7</v>
      </c>
      <c r="K969">
        <v>14.955</v>
      </c>
    </row>
    <row r="970" spans="10:11" x14ac:dyDescent="0.3">
      <c r="J970" s="5">
        <v>99.71</v>
      </c>
      <c r="K970">
        <v>29.913</v>
      </c>
    </row>
    <row r="971" spans="10:11" x14ac:dyDescent="0.3">
      <c r="J971" s="5">
        <v>99.73</v>
      </c>
      <c r="K971">
        <v>44.878500000000003</v>
      </c>
    </row>
    <row r="972" spans="10:11" x14ac:dyDescent="0.3">
      <c r="J972" s="5">
        <v>99.78</v>
      </c>
      <c r="K972">
        <v>24.945</v>
      </c>
    </row>
    <row r="973" spans="10:11" x14ac:dyDescent="0.3">
      <c r="J973" s="5">
        <v>99.79</v>
      </c>
      <c r="K973">
        <v>9.9789999999999992</v>
      </c>
    </row>
    <row r="974" spans="10:11" x14ac:dyDescent="0.3">
      <c r="J974" s="5">
        <v>99.82</v>
      </c>
      <c r="K974">
        <v>54.900999999999996</v>
      </c>
    </row>
    <row r="975" spans="10:11" x14ac:dyDescent="0.3">
      <c r="J975" s="5">
        <v>99.83</v>
      </c>
      <c r="K975">
        <v>29.949000000000002</v>
      </c>
    </row>
    <row r="976" spans="10:11" x14ac:dyDescent="0.3">
      <c r="J976" s="5">
        <v>99.89</v>
      </c>
      <c r="K976">
        <v>9.9890000000000008</v>
      </c>
    </row>
    <row r="977" spans="10:11" x14ac:dyDescent="0.3">
      <c r="J977" s="5">
        <v>99.92</v>
      </c>
      <c r="K977">
        <v>29.975999999999999</v>
      </c>
    </row>
    <row r="978" spans="10:11" x14ac:dyDescent="0.3">
      <c r="J978" s="5">
        <v>99.96</v>
      </c>
      <c r="K978">
        <v>79.967999999999989</v>
      </c>
    </row>
    <row r="979" spans="10:11" x14ac:dyDescent="0.3">
      <c r="J979" s="5" t="s">
        <v>1037</v>
      </c>
      <c r="K979">
        <v>15379.369000000006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52F66-7832-445F-80BB-1EDF888B9954}">
  <dimension ref="A3:Q29"/>
  <sheetViews>
    <sheetView workbookViewId="0">
      <selection activeCell="G17" sqref="G17"/>
    </sheetView>
  </sheetViews>
  <sheetFormatPr defaultRowHeight="14.4" x14ac:dyDescent="0.3"/>
  <cols>
    <col min="2" max="2" width="23.109375" bestFit="1" customWidth="1"/>
    <col min="3" max="3" width="13.33203125" bestFit="1" customWidth="1"/>
    <col min="5" max="5" width="12.5546875" bestFit="1" customWidth="1"/>
    <col min="6" max="6" width="11.6640625" bestFit="1" customWidth="1"/>
    <col min="8" max="8" width="12.5546875" bestFit="1" customWidth="1"/>
    <col min="9" max="9" width="11.6640625" bestFit="1" customWidth="1"/>
    <col min="10" max="10" width="12.5546875" bestFit="1" customWidth="1"/>
    <col min="11" max="11" width="11.6640625" bestFit="1" customWidth="1"/>
    <col min="16" max="16" width="13.6640625" bestFit="1" customWidth="1"/>
    <col min="17" max="17" width="18.6640625" bestFit="1" customWidth="1"/>
  </cols>
  <sheetData>
    <row r="3" spans="1:17" x14ac:dyDescent="0.3">
      <c r="A3">
        <v>1</v>
      </c>
      <c r="B3" s="4" t="s">
        <v>1036</v>
      </c>
      <c r="C3" t="s">
        <v>1038</v>
      </c>
      <c r="D3">
        <v>2</v>
      </c>
      <c r="E3" s="4" t="s">
        <v>1036</v>
      </c>
      <c r="F3" t="s">
        <v>1039</v>
      </c>
      <c r="I3">
        <v>3</v>
      </c>
      <c r="J3" s="4" t="s">
        <v>1036</v>
      </c>
      <c r="K3" t="s">
        <v>1039</v>
      </c>
      <c r="O3">
        <v>4</v>
      </c>
      <c r="P3" s="4" t="s">
        <v>1036</v>
      </c>
      <c r="Q3" t="s">
        <v>1043</v>
      </c>
    </row>
    <row r="4" spans="1:17" x14ac:dyDescent="0.3">
      <c r="B4" s="5" t="s">
        <v>18</v>
      </c>
      <c r="C4">
        <v>5057.1605</v>
      </c>
      <c r="E4" s="5" t="s">
        <v>20</v>
      </c>
      <c r="F4">
        <v>164223.4439999999</v>
      </c>
      <c r="J4" s="5" t="s">
        <v>20</v>
      </c>
      <c r="K4">
        <v>164223.44400000002</v>
      </c>
      <c r="P4" s="5" t="s">
        <v>18</v>
      </c>
      <c r="Q4">
        <v>5057.1605000000018</v>
      </c>
    </row>
    <row r="5" spans="1:17" x14ac:dyDescent="0.3">
      <c r="B5" s="6" t="s">
        <v>28</v>
      </c>
      <c r="C5">
        <v>872.24350000000015</v>
      </c>
      <c r="E5" s="6" t="s">
        <v>21</v>
      </c>
      <c r="F5">
        <v>88146.943499999965</v>
      </c>
      <c r="J5" s="6" t="s">
        <v>1040</v>
      </c>
      <c r="K5">
        <v>57914.829000000005</v>
      </c>
      <c r="P5" s="6" t="s">
        <v>19</v>
      </c>
      <c r="Q5">
        <v>5057.1605000000018</v>
      </c>
    </row>
    <row r="6" spans="1:17" x14ac:dyDescent="0.3">
      <c r="B6" s="6" t="s">
        <v>46</v>
      </c>
      <c r="C6">
        <v>777.73850000000016</v>
      </c>
      <c r="E6" s="6" t="s">
        <v>31</v>
      </c>
      <c r="F6">
        <v>76076.500499999951</v>
      </c>
      <c r="J6" s="6" t="s">
        <v>1041</v>
      </c>
      <c r="K6">
        <v>50296.049999999988</v>
      </c>
      <c r="P6" s="5" t="s">
        <v>42</v>
      </c>
      <c r="Q6">
        <v>5057.0320000000029</v>
      </c>
    </row>
    <row r="7" spans="1:17" x14ac:dyDescent="0.3">
      <c r="B7" s="6" t="s">
        <v>44</v>
      </c>
      <c r="C7">
        <v>817.29049999999995</v>
      </c>
      <c r="E7" s="5" t="s">
        <v>27</v>
      </c>
      <c r="F7">
        <v>158743.30499999999</v>
      </c>
      <c r="J7" s="6" t="s">
        <v>1042</v>
      </c>
      <c r="K7">
        <v>56012.565000000017</v>
      </c>
      <c r="P7" s="6" t="s">
        <v>43</v>
      </c>
      <c r="Q7">
        <v>5057.0320000000029</v>
      </c>
    </row>
    <row r="8" spans="1:17" x14ac:dyDescent="0.3">
      <c r="B8" s="6" t="s">
        <v>22</v>
      </c>
      <c r="C8">
        <v>599.89300000000003</v>
      </c>
      <c r="E8" s="6" t="s">
        <v>21</v>
      </c>
      <c r="F8">
        <v>79735.98149999998</v>
      </c>
      <c r="J8" s="5" t="s">
        <v>27</v>
      </c>
      <c r="K8">
        <v>158743.30499999999</v>
      </c>
      <c r="P8" s="5" t="s">
        <v>25</v>
      </c>
      <c r="Q8">
        <v>5265.1765000000023</v>
      </c>
    </row>
    <row r="9" spans="1:17" x14ac:dyDescent="0.3">
      <c r="B9" s="6" t="s">
        <v>32</v>
      </c>
      <c r="C9">
        <v>1067.4854999999998</v>
      </c>
      <c r="E9" s="6" t="s">
        <v>31</v>
      </c>
      <c r="F9">
        <v>79007.323499999999</v>
      </c>
      <c r="J9" s="6" t="s">
        <v>1040</v>
      </c>
      <c r="K9">
        <v>58377.039000000012</v>
      </c>
      <c r="P9" s="6" t="s">
        <v>26</v>
      </c>
      <c r="Q9">
        <v>5265.1765000000023</v>
      </c>
    </row>
    <row r="10" spans="1:17" x14ac:dyDescent="0.3">
      <c r="B10" s="6" t="s">
        <v>36</v>
      </c>
      <c r="C10">
        <v>922.5095</v>
      </c>
      <c r="E10" s="5" t="s">
        <v>1037</v>
      </c>
      <c r="F10">
        <v>322966.74899999989</v>
      </c>
      <c r="J10" s="6" t="s">
        <v>1041</v>
      </c>
      <c r="K10">
        <v>46923.323999999993</v>
      </c>
      <c r="P10" s="5" t="s">
        <v>1037</v>
      </c>
      <c r="Q10">
        <v>15379.369000000006</v>
      </c>
    </row>
    <row r="11" spans="1:17" x14ac:dyDescent="0.3">
      <c r="B11" s="5" t="s">
        <v>42</v>
      </c>
      <c r="C11">
        <v>5057.0319999999992</v>
      </c>
      <c r="J11" s="6" t="s">
        <v>1042</v>
      </c>
      <c r="K11">
        <v>53442.941999999974</v>
      </c>
    </row>
    <row r="12" spans="1:17" x14ac:dyDescent="0.3">
      <c r="B12" s="6" t="s">
        <v>28</v>
      </c>
      <c r="C12">
        <v>811.97350000000006</v>
      </c>
      <c r="J12" s="5" t="s">
        <v>1037</v>
      </c>
      <c r="K12">
        <v>322966.74900000001</v>
      </c>
    </row>
    <row r="13" spans="1:17" x14ac:dyDescent="0.3">
      <c r="B13" s="6" t="s">
        <v>46</v>
      </c>
      <c r="C13">
        <v>781.58649999999989</v>
      </c>
    </row>
    <row r="14" spans="1:17" x14ac:dyDescent="0.3">
      <c r="B14" s="6" t="s">
        <v>44</v>
      </c>
      <c r="C14">
        <v>724.5184999999999</v>
      </c>
    </row>
    <row r="15" spans="1:17" x14ac:dyDescent="0.3">
      <c r="B15" s="6" t="s">
        <v>22</v>
      </c>
      <c r="C15">
        <v>951.45999999999992</v>
      </c>
    </row>
    <row r="16" spans="1:17" x14ac:dyDescent="0.3">
      <c r="B16" s="6" t="s">
        <v>32</v>
      </c>
      <c r="C16">
        <v>835.67450000000008</v>
      </c>
      <c r="G16">
        <v>5</v>
      </c>
      <c r="H16" s="4" t="s">
        <v>1036</v>
      </c>
      <c r="I16" t="s">
        <v>1039</v>
      </c>
    </row>
    <row r="17" spans="2:9" x14ac:dyDescent="0.3">
      <c r="B17" s="6" t="s">
        <v>36</v>
      </c>
      <c r="C17">
        <v>951.81899999999973</v>
      </c>
      <c r="H17" s="5" t="s">
        <v>29</v>
      </c>
      <c r="I17">
        <v>112206.56999999998</v>
      </c>
    </row>
    <row r="18" spans="2:9" x14ac:dyDescent="0.3">
      <c r="B18" s="5" t="s">
        <v>25</v>
      </c>
      <c r="C18">
        <v>5265.1765000000005</v>
      </c>
      <c r="H18" s="6" t="s">
        <v>1040</v>
      </c>
      <c r="I18">
        <v>41770.081499999993</v>
      </c>
    </row>
    <row r="19" spans="2:9" x14ac:dyDescent="0.3">
      <c r="B19" s="6" t="s">
        <v>28</v>
      </c>
      <c r="C19">
        <v>903.28449999999987</v>
      </c>
      <c r="H19" s="6" t="s">
        <v>1041</v>
      </c>
      <c r="I19">
        <v>35746.336499999998</v>
      </c>
    </row>
    <row r="20" spans="2:9" x14ac:dyDescent="0.3">
      <c r="B20" s="6" t="s">
        <v>46</v>
      </c>
      <c r="C20">
        <v>1026.67</v>
      </c>
      <c r="H20" s="6" t="s">
        <v>1042</v>
      </c>
      <c r="I20">
        <v>34690.151999999987</v>
      </c>
    </row>
    <row r="21" spans="2:9" x14ac:dyDescent="0.3">
      <c r="B21" s="6" t="s">
        <v>44</v>
      </c>
      <c r="C21">
        <v>1131.7549999999999</v>
      </c>
      <c r="H21" s="5" t="s">
        <v>33</v>
      </c>
      <c r="I21">
        <v>100767.07200000001</v>
      </c>
    </row>
    <row r="22" spans="2:9" x14ac:dyDescent="0.3">
      <c r="B22" s="6" t="s">
        <v>22</v>
      </c>
      <c r="C22">
        <v>791.20600000000002</v>
      </c>
      <c r="H22" s="6" t="s">
        <v>1040</v>
      </c>
      <c r="I22">
        <v>38246.575500000014</v>
      </c>
    </row>
    <row r="23" spans="2:9" x14ac:dyDescent="0.3">
      <c r="B23" s="6" t="s">
        <v>32</v>
      </c>
      <c r="C23">
        <v>661.69300000000021</v>
      </c>
      <c r="H23" s="6" t="s">
        <v>1041</v>
      </c>
      <c r="I23">
        <v>31360.024500000007</v>
      </c>
    </row>
    <row r="24" spans="2:9" x14ac:dyDescent="0.3">
      <c r="B24" s="6" t="s">
        <v>36</v>
      </c>
      <c r="C24">
        <v>750.56800000000032</v>
      </c>
      <c r="H24" s="6" t="s">
        <v>1042</v>
      </c>
      <c r="I24">
        <v>31160.471999999991</v>
      </c>
    </row>
    <row r="25" spans="2:9" x14ac:dyDescent="0.3">
      <c r="B25" s="5" t="s">
        <v>1037</v>
      </c>
      <c r="C25">
        <v>15379.368999999997</v>
      </c>
      <c r="H25" s="5" t="s">
        <v>23</v>
      </c>
      <c r="I25">
        <v>109993.10699999997</v>
      </c>
    </row>
    <row r="26" spans="2:9" x14ac:dyDescent="0.3">
      <c r="H26" s="6" t="s">
        <v>1040</v>
      </c>
      <c r="I26">
        <v>36275.210999999981</v>
      </c>
    </row>
    <row r="27" spans="2:9" x14ac:dyDescent="0.3">
      <c r="H27" s="6" t="s">
        <v>1041</v>
      </c>
      <c r="I27">
        <v>30113.013000000003</v>
      </c>
    </row>
    <row r="28" spans="2:9" x14ac:dyDescent="0.3">
      <c r="H28" s="6" t="s">
        <v>1042</v>
      </c>
      <c r="I28">
        <v>43604.882999999987</v>
      </c>
    </row>
    <row r="29" spans="2:9" x14ac:dyDescent="0.3">
      <c r="H29" s="5" t="s">
        <v>1037</v>
      </c>
      <c r="I29">
        <v>322966.74899999989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B6ACE-CD29-43EB-96FD-9A0D2D835D36}">
  <dimension ref="L3:R4"/>
  <sheetViews>
    <sheetView topLeftCell="A5" zoomScaleNormal="100" workbookViewId="0">
      <selection activeCell="U7" sqref="U7"/>
    </sheetView>
  </sheetViews>
  <sheetFormatPr defaultRowHeight="14.4" x14ac:dyDescent="0.3"/>
  <cols>
    <col min="1" max="16384" width="8.88671875" style="10"/>
  </cols>
  <sheetData>
    <row r="3" spans="12:18" ht="14.4" customHeight="1" x14ac:dyDescent="0.3">
      <c r="L3" s="11" t="s">
        <v>1044</v>
      </c>
      <c r="M3" s="12"/>
      <c r="N3" s="12"/>
      <c r="O3" s="12"/>
      <c r="P3" s="13"/>
      <c r="Q3" s="13"/>
      <c r="R3" s="13"/>
    </row>
    <row r="4" spans="12:18" x14ac:dyDescent="0.3">
      <c r="L4" s="12"/>
      <c r="M4" s="12"/>
      <c r="N4" s="12"/>
      <c r="O4" s="12"/>
      <c r="P4" s="13"/>
      <c r="Q4" s="13"/>
      <c r="R4" s="13"/>
    </row>
  </sheetData>
  <mergeCells count="2">
    <mergeCell ref="L3:O4"/>
    <mergeCell ref="P3: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EA2C-4303-459E-BAE3-F2AE283DB12B}">
  <dimension ref="A1:Q1001"/>
  <sheetViews>
    <sheetView tabSelected="1" workbookViewId="0">
      <selection activeCell="K19" sqref="K19"/>
    </sheetView>
  </sheetViews>
  <sheetFormatPr defaultRowHeight="14.4" x14ac:dyDescent="0.3"/>
  <cols>
    <col min="1" max="1" width="11.33203125" bestFit="1" customWidth="1"/>
    <col min="6" max="6" width="19.109375" bestFit="1" customWidth="1"/>
    <col min="11" max="11" width="9.5546875" bestFit="1" customWidth="1"/>
    <col min="13" max="13" width="9.88671875" bestFit="1" customWidth="1"/>
    <col min="15" max="15" width="21" bestFit="1" customWidth="1"/>
    <col min="16" max="16" width="11.6640625" bestFit="1" customWidth="1"/>
    <col min="18" max="18" width="12"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s="3">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0.43680555555555556</v>
      </c>
      <c r="M3" t="s">
        <v>29</v>
      </c>
      <c r="N3">
        <v>76.400000000000006</v>
      </c>
      <c r="O3" s="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s="3">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0.85624999999999996</v>
      </c>
      <c r="M5" t="s">
        <v>23</v>
      </c>
      <c r="N5">
        <v>465.76</v>
      </c>
      <c r="O5" s="3">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s="3">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s="3">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s="3">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s="3">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s="3">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s="3">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s="3">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s="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s="3">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v>
      </c>
      <c r="M15" t="s">
        <v>23</v>
      </c>
      <c r="N15">
        <v>431.9</v>
      </c>
      <c r="O15" s="3">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s="3">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s="3">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s="3">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s="3">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s="3">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s="3">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0.47499999999999998</v>
      </c>
      <c r="M22" t="s">
        <v>23</v>
      </c>
      <c r="N22">
        <v>430.2</v>
      </c>
      <c r="O22" s="3">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s="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s="3">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s="3">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s="3">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s="3">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s="3">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s="3">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0.82499999999999996</v>
      </c>
      <c r="M30" t="s">
        <v>29</v>
      </c>
      <c r="N30">
        <v>441.8</v>
      </c>
      <c r="O30" s="3">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s="3">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s="3">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s="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s="3">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s="3">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0.44583333333333336</v>
      </c>
      <c r="M36" t="s">
        <v>23</v>
      </c>
      <c r="N36">
        <v>397.68</v>
      </c>
      <c r="O36" s="3">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s="3">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s="3">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s="3">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s="3">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0.54236111111111107</v>
      </c>
      <c r="M41" t="s">
        <v>29</v>
      </c>
      <c r="N41">
        <v>240.96</v>
      </c>
      <c r="O41" s="3">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s="3">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s="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s="3">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0.86041666666666672</v>
      </c>
      <c r="M45" t="s">
        <v>29</v>
      </c>
      <c r="N45">
        <v>789.6</v>
      </c>
      <c r="O45" s="3">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s="3">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s="3">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s="3">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s="3">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s="3">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s="3">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0.42986111111111114</v>
      </c>
      <c r="M52" t="s">
        <v>29</v>
      </c>
      <c r="N52">
        <v>639.79999999999995</v>
      </c>
      <c r="O52" s="3">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s="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s="3">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s="3">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0.49236111111111114</v>
      </c>
      <c r="M56" t="s">
        <v>23</v>
      </c>
      <c r="N56">
        <v>32.32</v>
      </c>
      <c r="O56" s="3">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s="3">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s="3">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s="3">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s="3">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s="3">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s="3">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s="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s="3">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0.51875000000000004</v>
      </c>
      <c r="M65" t="s">
        <v>33</v>
      </c>
      <c r="N65">
        <v>158.1</v>
      </c>
      <c r="O65" s="3">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s="3">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s="3">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s="3">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s="3">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s="3">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s="3">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s="3">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s="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s="3">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0.76458333333333328</v>
      </c>
      <c r="M75" t="s">
        <v>29</v>
      </c>
      <c r="N75">
        <v>455.46</v>
      </c>
      <c r="O75" s="3">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s="3">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s="3">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s="3">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s="3">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0.68333333333333335</v>
      </c>
      <c r="M80" t="s">
        <v>23</v>
      </c>
      <c r="N80">
        <v>783.1</v>
      </c>
      <c r="O80" s="3">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s="3">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s="3">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s="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s="3">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s="3">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s="3">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s="3">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0.43263888888888891</v>
      </c>
      <c r="M88" t="s">
        <v>29</v>
      </c>
      <c r="N88">
        <v>382.6</v>
      </c>
      <c r="O88" s="3">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s="3">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s="3">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s="3">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s="3">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0.82916666666666672</v>
      </c>
      <c r="M93" t="s">
        <v>23</v>
      </c>
      <c r="N93">
        <v>448.6</v>
      </c>
      <c r="O93" s="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s="3">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s="3">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s="3">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0.85972222222222228</v>
      </c>
      <c r="M97" t="s">
        <v>23</v>
      </c>
      <c r="N97">
        <v>97.16</v>
      </c>
      <c r="O97" s="3">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s="3">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s="3">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s="3">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0.75972222222222219</v>
      </c>
      <c r="M101" t="s">
        <v>29</v>
      </c>
      <c r="N101">
        <v>496.2</v>
      </c>
      <c r="O101" s="3">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s="3">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s="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s="3">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s="3">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s="3">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s="3">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s="3">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s="3">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s="3">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s="3">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s="3">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s="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s="3">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s="3">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s="3">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s="3">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s="3">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s="3">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s="3">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s="3">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s="3">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s="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s="3">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s="3">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s="3">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s="3">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s="3">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s="3">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s="3">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s="3">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s="3">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s="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s="3">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s="3">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s="3">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s="3">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s="3">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s="3">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s="3">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s="3">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s="3">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0.57499999999999996</v>
      </c>
      <c r="M143" t="s">
        <v>29</v>
      </c>
      <c r="N143">
        <v>905</v>
      </c>
      <c r="O143" s="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s="3">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s="3">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s="3">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s="3">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s="3">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s="3">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s="3">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s="3">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s="3">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s="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s="3">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0.76597222222222228</v>
      </c>
      <c r="M155" t="s">
        <v>23</v>
      </c>
      <c r="N155">
        <v>98.88</v>
      </c>
      <c r="O155" s="3">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s="3">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s="3">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s="3">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s="3">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s="3">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s="3">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s="3">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s="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s="3">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s="3">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s="3">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s="3">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s="3">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0.68055555555555558</v>
      </c>
      <c r="M169" t="s">
        <v>33</v>
      </c>
      <c r="N169">
        <v>989.8</v>
      </c>
      <c r="O169" s="3">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s="3">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s="3">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s="3">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s="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s="3">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s="3">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s="3">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s="3">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s="3">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s="3">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s="3">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s="3">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s="3">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s="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s="3">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s="3">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s="3">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s="3">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s="3">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s="3">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s="3">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0.86805555555555558</v>
      </c>
      <c r="M191" t="s">
        <v>33</v>
      </c>
      <c r="N191">
        <v>279.24</v>
      </c>
      <c r="O191" s="3">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s="3">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s="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0.79722222222222228</v>
      </c>
      <c r="M194" t="s">
        <v>29</v>
      </c>
      <c r="N194">
        <v>790.2</v>
      </c>
      <c r="O194" s="3">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s="3">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s="3">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s="3">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s="3">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s="3">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s="3">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s="3">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s="3">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s="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s="3">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s="3">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s="3">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s="3">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s="3">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s="3">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s="3">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s="3">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s="3">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s="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s="3">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s="3">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s="3">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s="3">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s="3">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s="3">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s="3">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s="3">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s="3">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s="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s="3">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s="3">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s="3">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s="3">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s="3">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s="3">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s="3">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s="3">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s="3">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s="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s="3">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s="3">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0.76666666666666672</v>
      </c>
      <c r="M236" t="s">
        <v>23</v>
      </c>
      <c r="N236">
        <v>519.4</v>
      </c>
      <c r="O236" s="3">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s="3">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s="3">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s="3">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s="3">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s="3">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s="3">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s="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s="3">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s="3">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s="3">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s="3">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s="3">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s="3">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s="3">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s="3">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s="3">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s="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s="3">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0.47361111111111109</v>
      </c>
      <c r="M255" t="s">
        <v>29</v>
      </c>
      <c r="N255">
        <v>95</v>
      </c>
      <c r="O255" s="3">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s="3">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s="3">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s="3">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s="3">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s="3">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s="3">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s="3">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s="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s="3">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s="3">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s="3">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s="3">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s="3">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s="3">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s="3">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s="3">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s="3">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s="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s="3">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s="3">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0.70277777777777772</v>
      </c>
      <c r="M276" t="s">
        <v>23</v>
      </c>
      <c r="N276">
        <v>598.26</v>
      </c>
      <c r="O276" s="3">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s="3">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0.73333333333333328</v>
      </c>
      <c r="M278" t="s">
        <v>29</v>
      </c>
      <c r="N278">
        <v>218.2</v>
      </c>
      <c r="O278" s="3">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s="3">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s="3">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0.83125000000000004</v>
      </c>
      <c r="M281" t="s">
        <v>33</v>
      </c>
      <c r="N281">
        <v>440.2</v>
      </c>
      <c r="O281" s="3">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s="3">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s="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s="3">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s="3">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s="3">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s="3">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s="3">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s="3">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s="3">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s="3">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s="3">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s="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s="3">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s="3">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s="3">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s="3">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s="3">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s="3">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s="3">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s="3">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s="3">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s="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s="3">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s="3">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0.52013888888888893</v>
      </c>
      <c r="M306" t="s">
        <v>29</v>
      </c>
      <c r="N306">
        <v>119.68</v>
      </c>
      <c r="O306" s="3">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s="3">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s="3">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s="3">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s="3">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s="3">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s="3">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s="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s="3">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s="3">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s="3">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s="3">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s="3">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s="3">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s="3">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s="3">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s="3">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s="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s="3">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s="3">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s="3">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s="3">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s="3">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s="3">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s="3">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s="3">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s="3">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s="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s="3">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s="3">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s="3">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s="3">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s="3">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s="3">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s="3">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s="3">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s="3">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s="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s="3">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s="3">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s="3">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s="3">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s="3">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s="3">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s="3">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0.46250000000000002</v>
      </c>
      <c r="M351" t="s">
        <v>33</v>
      </c>
      <c r="N351">
        <v>135</v>
      </c>
      <c r="O351" s="3">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s="3">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s="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s="3">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s="3">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s="3">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s="3">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s="3">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s="3">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s="3">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s="3">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s="3">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s="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s="3">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s="3">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s="3">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s="3">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s="3">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s="3">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s="3">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s="3">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s="3">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s="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s="3">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s="3">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s="3">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s="3">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s="3">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s="3">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s="3">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s="3">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s="3">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s="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s="3">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s="3">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s="3">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s="3">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s="3">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s="3">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s="3">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s="3">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s="3">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s="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s="3">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s="3">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s="3">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s="3">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s="3">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s="3">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s="3">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s="3">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s="3">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s="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s="3">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s="3">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s="3">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s="3">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s="3">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s="3">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s="3">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s="3">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s="3">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s="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s="3">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s="3">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s="3">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s="3">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s="3">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s="3">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s="3">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s="3">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0.58125000000000004</v>
      </c>
      <c r="M422" t="s">
        <v>23</v>
      </c>
      <c r="N422">
        <v>115.8</v>
      </c>
      <c r="O422" s="3">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s="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s="3">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s="3">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s="3">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s="3">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s="3">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s="3">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s="3">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s="3">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s="3">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s="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s="3">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s="3">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s="3">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s="3">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s="3">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s="3">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s="3">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s="3">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s="3">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s="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s="3">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s="3">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s="3">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s="3">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s="3">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s="3">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s="3">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s="3">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s="3">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s="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s="3">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s="3">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s="3">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s="3">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s="3">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s="3">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s="3">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0.70277777777777772</v>
      </c>
      <c r="M461" t="s">
        <v>33</v>
      </c>
      <c r="N461">
        <v>35.89</v>
      </c>
      <c r="O461" s="3">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s="3">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s="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s="3">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s="3">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s="3">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s="3">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s="3">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s="3">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s="3">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s="3">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s="3">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s="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s="3">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s="3">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s="3">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s="3">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s="3">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s="3">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s="3">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0.47638888888888886</v>
      </c>
      <c r="M481" t="s">
        <v>23</v>
      </c>
      <c r="N481">
        <v>38.6</v>
      </c>
      <c r="O481" s="3">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s="3">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s="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s="3">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s="3">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s="3">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s="3">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s="3">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0.79097222222222219</v>
      </c>
      <c r="M489" t="s">
        <v>23</v>
      </c>
      <c r="N489">
        <v>148.6</v>
      </c>
      <c r="O489" s="3">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s="3">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s="3">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s="3">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s="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s="3">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s="3">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s="3">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s="3">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s="3">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s="3">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s="3">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s="3">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s="3">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s="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s="3">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s="3">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s="3">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s="3">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s="3">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s="3">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s="3">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s="3">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s="3">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s="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s="3">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s="3">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s="3">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s="3">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v>
      </c>
      <c r="M518" t="s">
        <v>23</v>
      </c>
      <c r="N518">
        <v>274.3</v>
      </c>
      <c r="O518" s="3">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s="3">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s="3">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s="3">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s="3">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s="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s="3">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s="3">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s="3">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s="3">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s="3">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s="3">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s="3">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s="3">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s="3">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s="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s="3">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s="3">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s="3">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s="3">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s="3">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s="3">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s="3">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s="3">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s="3">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s="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s="3">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s="3">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s="3">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s="3">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s="3">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s="3">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s="3">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s="3">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s="3">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s="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s="3">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s="3">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s="3">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s="3">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s="3">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s="3">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s="3">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s="3">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s="3">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s="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s="3">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s="3">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s="3">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s="3">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s="3">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s="3">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s="3">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s="3">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s="3">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s="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s="3">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s="3">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s="3">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s="3">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0.77986111111111112</v>
      </c>
      <c r="M578" t="s">
        <v>29</v>
      </c>
      <c r="N578">
        <v>241.2</v>
      </c>
      <c r="O578" s="3">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s="3">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s="3">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s="3">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s="3">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s="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s="3">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s="3">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s="3">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s="3">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s="3">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s="3">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s="3">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s="3">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s="3">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s="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s="3">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0.49375000000000002</v>
      </c>
      <c r="M595" t="s">
        <v>23</v>
      </c>
      <c r="N595">
        <v>225.6</v>
      </c>
      <c r="O595" s="3">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s="3">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s="3">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s="3">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s="3">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s="3">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s="3">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s="3">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s="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s="3">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s="3">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s="3">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s="3">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s="3">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s="3">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s="3">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s="3">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s="3">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s="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s="3">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s="3">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s="3">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s="3">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s="3">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s="3">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s="3">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s="3">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s="3">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s="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s="3">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s="3">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s="3">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s="3">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s="3">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s="3">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s="3">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s="3">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s="3">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s="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s="3">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s="3">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s="3">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s="3">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s="3">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s="3">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s="3">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s="3">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s="3">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s="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s="3">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s="3">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s="3">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s="3">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s="3">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s="3">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s="3">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0.69722222222222219</v>
      </c>
      <c r="M651" t="s">
        <v>29</v>
      </c>
      <c r="N651">
        <v>247.4</v>
      </c>
      <c r="O651" s="3">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s="3">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s="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s="3">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s="3">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s="3">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s="3">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s="3">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s="3">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s="3">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s="3">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s="3">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s="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0.75972222222222219</v>
      </c>
      <c r="M664" t="s">
        <v>33</v>
      </c>
      <c r="N664">
        <v>352.5</v>
      </c>
      <c r="O664" s="3">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s="3">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s="3">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s="3">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s="3">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s="3">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s="3">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s="3">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s="3">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s="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0.54861111111111116</v>
      </c>
      <c r="M674" t="s">
        <v>23</v>
      </c>
      <c r="N674">
        <v>220.23</v>
      </c>
      <c r="O674" s="3">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s="3">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s="3">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s="3">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s="3">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s="3">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s="3">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0.58125000000000004</v>
      </c>
      <c r="M681" t="s">
        <v>23</v>
      </c>
      <c r="N681">
        <v>291</v>
      </c>
      <c r="O681" s="3">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s="3">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s="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s="3">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s="3">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s="3">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s="3">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s="3">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s="3">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s="3">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s="3">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s="3">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s="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s="3">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s="3">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0.61250000000000004</v>
      </c>
      <c r="M696" t="s">
        <v>29</v>
      </c>
      <c r="N696">
        <v>473.4</v>
      </c>
      <c r="O696" s="3">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s="3">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s="3">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s="3">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s="3">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s="3">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s="3">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s="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s="3">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s="3">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s="3">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s="3">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s="3">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s="3">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s="3">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s="3">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s="3">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s="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s="3">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s="3">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s="3">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s="3">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s="3">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s="3">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s="3">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s="3">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s="3">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s="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s="3">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s="3">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s="3">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s="3">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s="3">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s="3">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s="3">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s="3">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s="3">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s="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s="3">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s="3">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s="3">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s="3">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s="3">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s="3">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s="3">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s="3">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s="3">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s="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s="3">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s="3">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s="3">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s="3">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s="3">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s="3">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0.81111111111111112</v>
      </c>
      <c r="M750" t="s">
        <v>33</v>
      </c>
      <c r="N750">
        <v>110.61</v>
      </c>
      <c r="O750" s="3">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s="3">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s="3">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0.43819444444444444</v>
      </c>
      <c r="M753" t="s">
        <v>33</v>
      </c>
      <c r="N753">
        <v>136.4</v>
      </c>
      <c r="O753" s="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s="3">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s="3">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s="3">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s="3">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s="3">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s="3">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s="3">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s="3">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s="3">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s="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s="3">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s="3">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s="3">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s="3">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s="3">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s="3">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s="3">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s="3">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s="3">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s="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s="3">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s="3">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s="3">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s="3">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s="3">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s="3">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s="3">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s="3">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s="3">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s="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s="3">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s="3">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s="3">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s="3">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s="3">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s="3">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s="3">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s="3">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s="3">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s="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s="3">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s="3">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s="3">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s="3">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s="3">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s="3">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s="3">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s="3">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s="3">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s="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s="3">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s="3">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s="3">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s="3">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s="3">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s="3">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s="3">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s="3">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0.60972222222222228</v>
      </c>
      <c r="M812" t="s">
        <v>23</v>
      </c>
      <c r="N812">
        <v>86</v>
      </c>
      <c r="O812" s="3">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0.75416666666666665</v>
      </c>
      <c r="M813" t="s">
        <v>33</v>
      </c>
      <c r="N813">
        <v>402.6</v>
      </c>
      <c r="O813" s="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s="3">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s="3">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s="3">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s="3">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s="3">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s="3">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s="3">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0.60763888888888884</v>
      </c>
      <c r="M821" t="s">
        <v>33</v>
      </c>
      <c r="N821">
        <v>235.8</v>
      </c>
      <c r="O821" s="3">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s="3">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s="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s="3">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s="3">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s="3">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s="3">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s="3">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s="3">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s="3">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0.61250000000000004</v>
      </c>
      <c r="M831" t="s">
        <v>33</v>
      </c>
      <c r="N831">
        <v>742.2</v>
      </c>
      <c r="O831" s="3">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s="3">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s="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s="3">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s="3">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s="3">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s="3">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s="3">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s="3">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s="3">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s="3">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s="3">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s="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s="3">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s="3">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s="3">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s="3">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s="3">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s="3">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s="3">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s="3">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s="3">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s="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s="3">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s="3">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s="3">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s="3">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s="3">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s="3">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s="3">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s="3">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s="3">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s="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s="3">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s="3">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s="3">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s="3">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s="3">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s="3">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s="3">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s="3">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s="3">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s="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s="3">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s="3">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s="3">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s="3">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s="3">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s="3">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s="3">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s="3">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s="3">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s="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s="3">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s="3">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s="3">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s="3">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s="3">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s="3">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s="3">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0.82847222222222228</v>
      </c>
      <c r="M891" t="s">
        <v>23</v>
      </c>
      <c r="N891">
        <v>769.2</v>
      </c>
      <c r="O891" s="3">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s="3">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s="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s="3">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s="3">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s="3">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s="3">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s="3">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s="3">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s="3">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s="3">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s="3">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s="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s="3">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s="3">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s="3">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s="3">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s="3">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s="3">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s="3">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s="3">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s="3">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s="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s="3">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s="3">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s="3">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s="3">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s="3">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s="3">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s="3">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s="3">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s="3">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s="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s="3">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s="3">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s="3">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s="3">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s="3">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s="3">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s="3">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s="3">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s="3">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s="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s="3">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s="3">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s="3">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s="3">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s="3">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0.42916666666666664</v>
      </c>
      <c r="M939" t="s">
        <v>29</v>
      </c>
      <c r="N939">
        <v>447.4</v>
      </c>
      <c r="O939" s="3">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s="3">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s="3">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s="3">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s="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s="3">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s="3">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s="3">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s="3">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s="3">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s="3">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s="3">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s="3">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s="3">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s="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s="3">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s="3">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s="3">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0.49375000000000002</v>
      </c>
      <c r="M957" t="s">
        <v>29</v>
      </c>
      <c r="N957">
        <v>297.99</v>
      </c>
      <c r="O957" s="3">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s="3">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s="3">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s="3">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s="3">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s="3">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s="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s="3">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s="3">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s="3">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s="3">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s="3">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s="3">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s="3">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s="3">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s="3">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s="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s="3">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s="3">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s="3">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s="3">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0.44374999999999998</v>
      </c>
      <c r="M978" t="s">
        <v>29</v>
      </c>
      <c r="N978">
        <v>298.64</v>
      </c>
      <c r="O978" s="3">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s="3">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0.75694444444444442</v>
      </c>
      <c r="M980" t="s">
        <v>33</v>
      </c>
      <c r="N980">
        <v>25.45</v>
      </c>
      <c r="O980" s="3">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s="3">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s="3">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s="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s="3">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s="3">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s="3">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s="3">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s="3">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s="3">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0.8</v>
      </c>
      <c r="M990" t="s">
        <v>23</v>
      </c>
      <c r="N990">
        <v>823.4</v>
      </c>
      <c r="O990" s="3">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s="3">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0.79583333333333328</v>
      </c>
      <c r="M992" t="s">
        <v>33</v>
      </c>
      <c r="N992">
        <v>282.8</v>
      </c>
      <c r="O992" s="3">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s="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s="3">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s="3">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s="3">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s="3">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s="3">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s="3">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s="3">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s="3">
        <v>4.7619047620000003</v>
      </c>
      <c r="P1001">
        <v>30.919</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Dashboard</vt:lpstr>
      <vt:lpstr>supermarket_sales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Pyne</dc:creator>
  <cp:lastModifiedBy>Joy Pyne</cp:lastModifiedBy>
  <dcterms:created xsi:type="dcterms:W3CDTF">2025-04-10T08:11:37Z</dcterms:created>
  <dcterms:modified xsi:type="dcterms:W3CDTF">2025-11-29T16:49:17Z</dcterms:modified>
</cp:coreProperties>
</file>